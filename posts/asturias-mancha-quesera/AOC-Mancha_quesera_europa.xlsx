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anr\GitHub\blog\posts\asturias-mancha-quesera\"/>
    </mc:Choice>
  </mc:AlternateContent>
  <xr:revisionPtr revIDLastSave="0" documentId="8_{78E08F79-B7B7-414D-A0A7-0F07E9A584D6}" xr6:coauthVersionLast="47" xr6:coauthVersionMax="47" xr10:uidLastSave="{00000000-0000-0000-0000-000000000000}"/>
  <bookViews>
    <workbookView xWindow="-120" yWindow="-120" windowWidth="29040" windowHeight="16440" activeTab="7" xr2:uid="{00000000-000D-0000-FFFF-FFFF00000000}"/>
  </bookViews>
  <sheets>
    <sheet name="Prod por pais" sheetId="1" r:id="rId1"/>
    <sheet name="Producción DOP" sheetId="2" r:id="rId2"/>
    <sheet name="DOP Europa" sheetId="3" r:id="rId3"/>
    <sheet name="DOP España" sheetId="4" r:id="rId4"/>
    <sheet name="Productores Asturias" sheetId="5" r:id="rId5"/>
    <sheet name="SADEI-Asturias-2023" sheetId="6" r:id="rId6"/>
    <sheet name="Datos_AESAN" sheetId="7" r:id="rId7"/>
    <sheet name="Total UE" sheetId="8" r:id="rId8"/>
    <sheet name="España-alimentacion" sheetId="9" r:id="rId9"/>
    <sheet name="España-consumo" sheetId="10" r:id="rId10"/>
    <sheet name="España" sheetId="11" r:id="rId11"/>
    <sheet name="Italia" sheetId="12" r:id="rId12"/>
    <sheet name="Francia" sheetId="13" r:id="rId13"/>
    <sheet name="Alemania" sheetId="14" r:id="rId14"/>
    <sheet name="Dinamarca" sheetId="15" r:id="rId15"/>
    <sheet name="Países Bajos" sheetId="16" r:id="rId16"/>
    <sheet name="Grecia" sheetId="17" r:id="rId17"/>
  </sheets>
  <definedNames>
    <definedName name="_xlnm._FilterDatabase" localSheetId="1" hidden="1">'Producción DOP'!$A$1:$F$223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2" l="1"/>
  <c r="I45" i="12"/>
  <c r="I41" i="12"/>
  <c r="I34" i="12"/>
  <c r="I25" i="12"/>
  <c r="I24" i="12"/>
  <c r="I23" i="12"/>
  <c r="I19" i="12"/>
  <c r="I16" i="12"/>
  <c r="I13" i="12"/>
  <c r="I7" i="12"/>
  <c r="I3" i="12"/>
  <c r="I2" i="12"/>
  <c r="C134" i="2"/>
  <c r="C111" i="2"/>
  <c r="C99" i="2"/>
  <c r="C91" i="2"/>
  <c r="C63" i="2"/>
  <c r="C8" i="2"/>
  <c r="F2" i="1"/>
  <c r="E2" i="1"/>
</calcChain>
</file>

<file path=xl/sharedStrings.xml><?xml version="1.0" encoding="utf-8"?>
<sst xmlns="http://schemas.openxmlformats.org/spreadsheetml/2006/main" count="1899" uniqueCount="592">
  <si>
    <t>pais</t>
  </si>
  <si>
    <t>habitantes</t>
  </si>
  <si>
    <t>superficie_km2</t>
  </si>
  <si>
    <t>prod_total_queso_ton</t>
  </si>
  <si>
    <t>prod_ton_DOP_IGP</t>
  </si>
  <si>
    <t>quesos_con_DOP_IGP</t>
  </si>
  <si>
    <t>num_empresas_queseras</t>
  </si>
  <si>
    <t>num_empresas_queseras_DOP</t>
  </si>
  <si>
    <t>Francia</t>
  </si>
  <si>
    <t>Suiza</t>
  </si>
  <si>
    <t>Italia</t>
  </si>
  <si>
    <t>Paises Bajos</t>
  </si>
  <si>
    <t>Bélgica</t>
  </si>
  <si>
    <t>Dinamarca</t>
  </si>
  <si>
    <t>Alemania</t>
  </si>
  <si>
    <t>Asturias</t>
  </si>
  <si>
    <t>España</t>
  </si>
  <si>
    <t>Grecia</t>
  </si>
  <si>
    <t>Polonia</t>
  </si>
  <si>
    <t>Irlanda</t>
  </si>
  <si>
    <t>Austria</t>
  </si>
  <si>
    <t>Chequia</t>
  </si>
  <si>
    <t>Bulgaria</t>
  </si>
  <si>
    <t>Lituania</t>
  </si>
  <si>
    <t>Norway</t>
  </si>
  <si>
    <t>Romania</t>
  </si>
  <si>
    <t>Hungría</t>
  </si>
  <si>
    <t>Suecia</t>
  </si>
  <si>
    <t>Portugal</t>
  </si>
  <si>
    <t>Serbia</t>
  </si>
  <si>
    <t>Latvia</t>
  </si>
  <si>
    <t>Estonia</t>
  </si>
  <si>
    <t>Eslovaquia</t>
  </si>
  <si>
    <t>Cyprus</t>
  </si>
  <si>
    <t>Croatia</t>
  </si>
  <si>
    <t>Slovenia</t>
  </si>
  <si>
    <t>Albania</t>
  </si>
  <si>
    <t>Turquía</t>
  </si>
  <si>
    <t>Queso</t>
  </si>
  <si>
    <t>Tipo</t>
  </si>
  <si>
    <t>Ton</t>
  </si>
  <si>
    <t>Año</t>
  </si>
  <si>
    <t>País</t>
  </si>
  <si>
    <t>Tipo de Leche</t>
  </si>
  <si>
    <t>Abondance</t>
  </si>
  <si>
    <t>DOP</t>
  </si>
  <si>
    <t>Vaca</t>
  </si>
  <si>
    <t>Acehúche</t>
  </si>
  <si>
    <t>Cabra</t>
  </si>
  <si>
    <t>Afuega´l Pitu</t>
  </si>
  <si>
    <t>Allgäuer Bergkäse</t>
  </si>
  <si>
    <t>Allgäuer Emmentaler</t>
  </si>
  <si>
    <t>Altenburger Ziegenkäse</t>
  </si>
  <si>
    <t>Anevato (incl. orgánico)</t>
  </si>
  <si>
    <t>Oveja, cabra</t>
  </si>
  <si>
    <t>Appenzeller</t>
  </si>
  <si>
    <t>Arseniko Naxou</t>
  </si>
  <si>
    <t>Arzúa-Ulloa</t>
  </si>
  <si>
    <t>Asiago (Total producción)</t>
  </si>
  <si>
    <t>Banon</t>
  </si>
  <si>
    <t>Batzos</t>
  </si>
  <si>
    <t>Beacon Fell traditional Lancashire</t>
  </si>
  <si>
    <t>Reino Unido</t>
  </si>
  <si>
    <t>Beaufort</t>
  </si>
  <si>
    <t>Bleu d'Auvergne</t>
  </si>
  <si>
    <t>Bleu de Gex Haut-Jura</t>
  </si>
  <si>
    <t>Bleu des Causses</t>
  </si>
  <si>
    <t>Bleu du Vercors-Sassenage</t>
  </si>
  <si>
    <t>Boeren Leidenkaas</t>
  </si>
  <si>
    <t>Países Bajos</t>
  </si>
  <si>
    <t>Boerenkaas</t>
  </si>
  <si>
    <t>ETG</t>
  </si>
  <si>
    <t>Bonchester</t>
  </si>
  <si>
    <t>Bovški sir</t>
  </si>
  <si>
    <t>PDO</t>
  </si>
  <si>
    <t>Bra INOQ</t>
  </si>
  <si>
    <t>Brie de Meaux</t>
  </si>
  <si>
    <t>Brie de Melun</t>
  </si>
  <si>
    <t>Brillat-Savarin</t>
  </si>
  <si>
    <t>IGP</t>
  </si>
  <si>
    <t>Brocciu</t>
  </si>
  <si>
    <t>Oveja</t>
  </si>
  <si>
    <t>Brousse du Rove</t>
  </si>
  <si>
    <t>Bryndza Podhalańska</t>
  </si>
  <si>
    <t>Bulgarsko byalo salamureno sirene</t>
  </si>
  <si>
    <t>Vaca, oveja, cabra</t>
  </si>
  <si>
    <t>Buxton blue</t>
  </si>
  <si>
    <t>Cabrales</t>
  </si>
  <si>
    <t>Vaca,oveja,cabra</t>
  </si>
  <si>
    <t>Caciocavallo Silano</t>
  </si>
  <si>
    <t>Camembert de Normandie</t>
  </si>
  <si>
    <t>Camerano</t>
  </si>
  <si>
    <t>Cancoillotte</t>
  </si>
  <si>
    <t>Cantal</t>
  </si>
  <si>
    <t>Casatella Trevigiana CSQA</t>
  </si>
  <si>
    <t>Casín</t>
  </si>
  <si>
    <t>Castellano</t>
  </si>
  <si>
    <t>Cebreiro</t>
  </si>
  <si>
    <t>Chabichou du Poitou</t>
  </si>
  <si>
    <t>Chaource</t>
  </si>
  <si>
    <t>Charolais</t>
  </si>
  <si>
    <t>Chavignol</t>
  </si>
  <si>
    <t>Chevrotin</t>
  </si>
  <si>
    <t>Comté</t>
  </si>
  <si>
    <t>Danablu</t>
  </si>
  <si>
    <t>Danbo</t>
  </si>
  <si>
    <t>Dorset Blue</t>
  </si>
  <si>
    <t>Dovedale</t>
  </si>
  <si>
    <t>Džiugas</t>
  </si>
  <si>
    <t>Edam Holland</t>
  </si>
  <si>
    <t>Emmental de Savoie</t>
  </si>
  <si>
    <t>Emmental français</t>
  </si>
  <si>
    <t>Emmentaler AOP</t>
  </si>
  <si>
    <t>Epoisses</t>
  </si>
  <si>
    <t>Esrom</t>
  </si>
  <si>
    <t>Etivaz AOP</t>
  </si>
  <si>
    <t>Exmoor Blue</t>
  </si>
  <si>
    <t>Feta (incl. orgánico)</t>
  </si>
  <si>
    <t>Flor de Guía</t>
  </si>
  <si>
    <t>Oveja, vaca, cabra</t>
  </si>
  <si>
    <t>Fontina CSQA</t>
  </si>
  <si>
    <t>Formaella Arachovas Parnassou</t>
  </si>
  <si>
    <t>Fourme d'Ambert</t>
  </si>
  <si>
    <t>Fourme de Montbrison</t>
  </si>
  <si>
    <t>Galotyri</t>
  </si>
  <si>
    <t>Gamonedo</t>
  </si>
  <si>
    <t>Gloucester</t>
  </si>
  <si>
    <t>Gorgonzola</t>
  </si>
  <si>
    <t>Gouda Holland</t>
  </si>
  <si>
    <t>Grana Padano</t>
  </si>
  <si>
    <t>Graviera Agrafon</t>
  </si>
  <si>
    <t>Graviera Kritis</t>
  </si>
  <si>
    <t>Graviera Naxou</t>
  </si>
  <si>
    <t>Gruyère</t>
  </si>
  <si>
    <t>Havarti</t>
  </si>
  <si>
    <t>Herve / Limburger</t>
  </si>
  <si>
    <t>Hessischer Handkäse / Hessischer Handkäs</t>
  </si>
  <si>
    <t>Holsteiner Tilsiter</t>
  </si>
  <si>
    <t>Homolje cheese (homoljski sir)</t>
  </si>
  <si>
    <t>Ibores</t>
  </si>
  <si>
    <t>Idiazábal</t>
  </si>
  <si>
    <t>Imokilly Regato</t>
  </si>
  <si>
    <t>Jihočeská Niva</t>
  </si>
  <si>
    <t>Rep. Checa</t>
  </si>
  <si>
    <t>Jihočeská Zlatá Niva</t>
  </si>
  <si>
    <t>Kalathaki Limnou</t>
  </si>
  <si>
    <t>Kanterkaas</t>
  </si>
  <si>
    <t>Kasseri (incl. orgánico)</t>
  </si>
  <si>
    <t>Katiki Domokou</t>
  </si>
  <si>
    <t>Kefalograviera</t>
  </si>
  <si>
    <t>Kopanisti</t>
  </si>
  <si>
    <t>Krasotyri Ko (Tiri tis Possias)</t>
  </si>
  <si>
    <t>Krivi Vir caciocavallo (krivovirski kačkavalj)</t>
  </si>
  <si>
    <t>L´Alt Urgell y la Cerdanya</t>
  </si>
  <si>
    <t>La Serena</t>
  </si>
  <si>
    <t>Ladotyri Mytilinis (incl orgánico)</t>
  </si>
  <si>
    <t>Laguiole</t>
  </si>
  <si>
    <t>Langres</t>
  </si>
  <si>
    <t>Le Gruyère AOP</t>
  </si>
  <si>
    <t>Lietuviškas varškės sūris</t>
  </si>
  <si>
    <t>Liliputas</t>
  </si>
  <si>
    <t>Livarot</t>
  </si>
  <si>
    <t>Los Beyos</t>
  </si>
  <si>
    <t>Mâconnais</t>
  </si>
  <si>
    <t>Mahón-Menorca</t>
  </si>
  <si>
    <t>Majorero</t>
  </si>
  <si>
    <t>Manchego</t>
  </si>
  <si>
    <t>Manouri (incl. orgánico)</t>
  </si>
  <si>
    <t>Suero</t>
  </si>
  <si>
    <t>Maroilles</t>
  </si>
  <si>
    <t>Mohant</t>
  </si>
  <si>
    <t>Mont d'Or</t>
  </si>
  <si>
    <t>Montasio CSQA</t>
  </si>
  <si>
    <t>Monte Veronese CSQA</t>
  </si>
  <si>
    <t>Morbier</t>
  </si>
  <si>
    <t>Mozzarella di Bufala Campana</t>
  </si>
  <si>
    <t>Búfala</t>
  </si>
  <si>
    <t>Munster</t>
  </si>
  <si>
    <t>Murcia</t>
  </si>
  <si>
    <t>Murcia al Vino</t>
  </si>
  <si>
    <t>Nanoški sir</t>
  </si>
  <si>
    <t>Nata de Cantabria</t>
  </si>
  <si>
    <t>Neufchâtel</t>
  </si>
  <si>
    <t>Nieheimer Käse</t>
  </si>
  <si>
    <t>Nord Holland Edammer</t>
  </si>
  <si>
    <t>Nord Holland Gouda</t>
  </si>
  <si>
    <t>Odenwälder Frühstückskäse</t>
  </si>
  <si>
    <t>Olomoucké tvarůžky</t>
  </si>
  <si>
    <t>Oravský korbáčik</t>
  </si>
  <si>
    <t>Slovakia</t>
  </si>
  <si>
    <t>Orkney Scottish Island Cheddar</t>
  </si>
  <si>
    <t>Oscypek</t>
  </si>
  <si>
    <t>Ossau-Iraty</t>
  </si>
  <si>
    <t>Otros DOP Italia</t>
  </si>
  <si>
    <t>Palmero</t>
  </si>
  <si>
    <t>Parmigiano Reggiano</t>
  </si>
  <si>
    <t>Pecorino Romano (Cerdeña)</t>
  </si>
  <si>
    <t>Pecorino Sardo</t>
  </si>
  <si>
    <t>Pecorino Toscano</t>
  </si>
  <si>
    <t>Pélardon</t>
  </si>
  <si>
    <t>Piave 4 CSQA</t>
  </si>
  <si>
    <t>Pichtogalo Chanion</t>
  </si>
  <si>
    <t>Oveja,cabra</t>
  </si>
  <si>
    <t>Picodon</t>
  </si>
  <si>
    <t>Picón-Bejes-Tresviso</t>
  </si>
  <si>
    <t>Pont-l'Evêque</t>
  </si>
  <si>
    <t>Pouligny-Saint-Pierre</t>
  </si>
  <si>
    <t>Provolone Valpadana CSQA</t>
  </si>
  <si>
    <t>Puzzone di Moena CSQA</t>
  </si>
  <si>
    <t>Quartirolo Lombardo</t>
  </si>
  <si>
    <t>Queijo amarelo da Beira Baixa</t>
  </si>
  <si>
    <t>Queijo de Azeitão</t>
  </si>
  <si>
    <t>Queijo de Cabra Transmontano</t>
  </si>
  <si>
    <t>Queijo de Castelo Branco</t>
  </si>
  <si>
    <t>Queijo de Évora</t>
  </si>
  <si>
    <t>Queijo de Nisa</t>
  </si>
  <si>
    <t>Queijo do Pico</t>
  </si>
  <si>
    <t>Queijo mestiço de Tolosa</t>
  </si>
  <si>
    <t>Queijo picante da Beira Baixa</t>
  </si>
  <si>
    <t>Queijo Rabaçal</t>
  </si>
  <si>
    <t>Queijo S. Jorge</t>
  </si>
  <si>
    <t>Queijo Serpa</t>
  </si>
  <si>
    <t>Queijo Serra da Estrela</t>
  </si>
  <si>
    <t>Queijo Terrincho</t>
  </si>
  <si>
    <t>Quesucos de Liébana</t>
  </si>
  <si>
    <t>Raclette de Savoie</t>
  </si>
  <si>
    <t>Raclette du Valais AOP</t>
  </si>
  <si>
    <t>Raschera INOQ</t>
  </si>
  <si>
    <t>Reblochon</t>
  </si>
  <si>
    <t>Redykołka</t>
  </si>
  <si>
    <t>Rigotte de Condrieu</t>
  </si>
  <si>
    <t>Rocamadour</t>
  </si>
  <si>
    <t>Roncal</t>
  </si>
  <si>
    <t>Roquefort</t>
  </si>
  <si>
    <t>Saint-Marcellin</t>
  </si>
  <si>
    <t>Saint-Nectaire</t>
  </si>
  <si>
    <t>Sainte-Maure de Touraine</t>
  </si>
  <si>
    <t>Salers</t>
  </si>
  <si>
    <t>San Mihali</t>
  </si>
  <si>
    <t>San Simón da Costa</t>
  </si>
  <si>
    <t>Sbrinz AOP</t>
  </si>
  <si>
    <t>Selles-sur-Cher</t>
  </si>
  <si>
    <t>Ser koryciński swojski</t>
  </si>
  <si>
    <t>Sfela</t>
  </si>
  <si>
    <t>Slovenská bryndza</t>
  </si>
  <si>
    <t>Vaca, oveja,cabra</t>
  </si>
  <si>
    <t>Slovenská parenica</t>
  </si>
  <si>
    <t>Slovenský oštiepok</t>
  </si>
  <si>
    <t>Soumaintrain</t>
  </si>
  <si>
    <t>Squacquerone di Romagna</t>
  </si>
  <si>
    <t>Staffordshire</t>
  </si>
  <si>
    <t>Stelvio</t>
  </si>
  <si>
    <t>Svecia</t>
  </si>
  <si>
    <t>Svrljig caciocavallo (svrljiški kačkavalj)</t>
  </si>
  <si>
    <t>Swaledale</t>
  </si>
  <si>
    <t>Oveja, vaca</t>
  </si>
  <si>
    <t>Swaledale ewes´</t>
  </si>
  <si>
    <t>Taleggio</t>
  </si>
  <si>
    <t>Tekovský salámový syr</t>
  </si>
  <si>
    <t>Telemea de Ibănești</t>
  </si>
  <si>
    <t>Rumania</t>
  </si>
  <si>
    <t>Telemea de Sibiu</t>
  </si>
  <si>
    <t>Tête de Moine AOP</t>
  </si>
  <si>
    <t>Tetilla</t>
  </si>
  <si>
    <t>Teviotdale</t>
  </si>
  <si>
    <t>Tolminc</t>
  </si>
  <si>
    <t>Toma Piemontese INOQ</t>
  </si>
  <si>
    <t>Tome des Bauges</t>
  </si>
  <si>
    <t>Tomme de Savoie</t>
  </si>
  <si>
    <t>Tomme des Pyrénées</t>
  </si>
  <si>
    <t>Tomme fraîche de l'Aubrac</t>
  </si>
  <si>
    <t>Torta del Casar</t>
  </si>
  <si>
    <t>Traditional Ayrshire Dunlop</t>
  </si>
  <si>
    <t>Traditional Welsh Caerphilly</t>
  </si>
  <si>
    <t>Vacherin Friburgeois AOP</t>
  </si>
  <si>
    <t>Vacherin Mont-d'Or AOP</t>
  </si>
  <si>
    <t>Valdeón</t>
  </si>
  <si>
    <t>Valençay</t>
  </si>
  <si>
    <t>Valtellina Casera CSQA</t>
  </si>
  <si>
    <t>West Country farmhouse Cheddar</t>
  </si>
  <si>
    <t>White Stilton; Blue Stilton</t>
  </si>
  <si>
    <t>Wielkopolski ser smażony</t>
  </si>
  <si>
    <t>Xigalo Siteias</t>
  </si>
  <si>
    <t>Xinomizithra Kritis</t>
  </si>
  <si>
    <t>Yorkshire Wensleydale</t>
  </si>
  <si>
    <t>Zamorano</t>
  </si>
  <si>
    <t>Zázrivský korbáčik</t>
  </si>
  <si>
    <t>Número de Quesos DOP</t>
  </si>
  <si>
    <t>República Checa</t>
  </si>
  <si>
    <t>Rumanía</t>
  </si>
  <si>
    <t>Eslovenia</t>
  </si>
  <si>
    <t>Region</t>
  </si>
  <si>
    <t>queserias</t>
  </si>
  <si>
    <t>kg</t>
  </si>
  <si>
    <t>Galicia</t>
  </si>
  <si>
    <t>País.Vasco</t>
  </si>
  <si>
    <t>Baleares</t>
  </si>
  <si>
    <t>Cantabria</t>
  </si>
  <si>
    <t>Queso Camerano</t>
  </si>
  <si>
    <t>La-Rioja</t>
  </si>
  <si>
    <t>Queso Casín</t>
  </si>
  <si>
    <t>Queso Castellano</t>
  </si>
  <si>
    <t>Castilla-León</t>
  </si>
  <si>
    <t>Queso de Acehúche</t>
  </si>
  <si>
    <t>Extremadura</t>
  </si>
  <si>
    <t>Queso de Flor de Guía</t>
  </si>
  <si>
    <t>Canarias</t>
  </si>
  <si>
    <t>Queso de L´Alt Urgell y la Cerdanya</t>
  </si>
  <si>
    <t>Cataluña</t>
  </si>
  <si>
    <t>Queso de la Serena</t>
  </si>
  <si>
    <t>Queso de Murcia</t>
  </si>
  <si>
    <t>Queso de Murcia al Vino</t>
  </si>
  <si>
    <t>Queso de Valdeón</t>
  </si>
  <si>
    <t>Queso Ibores</t>
  </si>
  <si>
    <t>Queso Los Beyos</t>
  </si>
  <si>
    <t>Queso Majorero</t>
  </si>
  <si>
    <t>Queso Manchego</t>
  </si>
  <si>
    <t>Castilla-La-Mancha</t>
  </si>
  <si>
    <t>Queso Palmero</t>
  </si>
  <si>
    <t>Queso Tetilla</t>
  </si>
  <si>
    <t>Queso Zamorano</t>
  </si>
  <si>
    <t>Navarra</t>
  </si>
  <si>
    <t>productores</t>
  </si>
  <si>
    <t>Gamoneu</t>
  </si>
  <si>
    <t>Afuega'l Pitu</t>
  </si>
  <si>
    <t>Beyos</t>
  </si>
  <si>
    <t>año</t>
  </si>
  <si>
    <t>ton</t>
  </si>
  <si>
    <t>Comunidad Autónoma</t>
  </si>
  <si>
    <t>CCAA</t>
  </si>
  <si>
    <t>Superficie (km²)</t>
  </si>
  <si>
    <t>Población</t>
  </si>
  <si>
    <t>PIB regional (M€)</t>
  </si>
  <si>
    <t>Empresas queseras</t>
  </si>
  <si>
    <t>% PIB sector quesero</t>
  </si>
  <si>
    <t>Andalucía</t>
  </si>
  <si>
    <t>AND</t>
  </si>
  <si>
    <t>Aragón</t>
  </si>
  <si>
    <t>ARA</t>
  </si>
  <si>
    <t>Asturias (Principado de)</t>
  </si>
  <si>
    <t>AST</t>
  </si>
  <si>
    <t>Baleares (Islas)</t>
  </si>
  <si>
    <t>BAL</t>
  </si>
  <si>
    <t>CAN</t>
  </si>
  <si>
    <t>CBN</t>
  </si>
  <si>
    <t>Castilla-La Mancha</t>
  </si>
  <si>
    <t>CLM</t>
  </si>
  <si>
    <t>Castilla y León</t>
  </si>
  <si>
    <t>CYL</t>
  </si>
  <si>
    <t>CAT</t>
  </si>
  <si>
    <t>Comunidad de Madrid</t>
  </si>
  <si>
    <t>MAD</t>
  </si>
  <si>
    <t>Comunidad Valenciana</t>
  </si>
  <si>
    <t>CVA</t>
  </si>
  <si>
    <t>EXT</t>
  </si>
  <si>
    <t>GAL</t>
  </si>
  <si>
    <t>La Rioja</t>
  </si>
  <si>
    <t>RIO</t>
  </si>
  <si>
    <t>Murcia (Región de)</t>
  </si>
  <si>
    <t>MUR</t>
  </si>
  <si>
    <t>Navarra (Com. Foral de)</t>
  </si>
  <si>
    <t>NAV</t>
  </si>
  <si>
    <t>País Vasco</t>
  </si>
  <si>
    <t>EUS</t>
  </si>
  <si>
    <t>Data extracted on 16/04/2025 19:21:17 from [ESTAT]</t>
  </si>
  <si>
    <t>Dataset:</t>
  </si>
  <si>
    <t>Milk collection (all milks) and dairy products obtained - annual data [apro_mk_pobta__custom_2750342]</t>
  </si>
  <si>
    <t>Last updated:</t>
  </si>
  <si>
    <r>
      <rPr>
        <u/>
        <sz val="10"/>
        <color rgb="FF1155CC"/>
        <rFont val="Arial"/>
        <family val="2"/>
      </rPr>
      <t>[apro_mk_pobta] Milk collection (all milks) and dairy products obtained - annual data</t>
    </r>
  </si>
  <si>
    <t>Time frequency</t>
  </si>
  <si>
    <t>Annual</t>
  </si>
  <si>
    <t>Dairy and other animal products (except meat)</t>
  </si>
  <si>
    <t>Cheese</t>
  </si>
  <si>
    <t>Item of milk</t>
  </si>
  <si>
    <t>Products obtained (1 000 t)</t>
  </si>
  <si>
    <t>TIME</t>
  </si>
  <si>
    <t>GEO (Labels)</t>
  </si>
  <si>
    <t>European Union - 27 countries (from 2020)</t>
  </si>
  <si>
    <t>:</t>
  </si>
  <si>
    <t>C</t>
  </si>
  <si>
    <t>European Union - 28 countries (2013-2020)</t>
  </si>
  <si>
    <t>Belgium</t>
  </si>
  <si>
    <t>Czechia</t>
  </si>
  <si>
    <t>Denmark</t>
  </si>
  <si>
    <t>Germany</t>
  </si>
  <si>
    <t>Ireland</t>
  </si>
  <si>
    <t>Greece</t>
  </si>
  <si>
    <t>Spain</t>
  </si>
  <si>
    <t>p</t>
  </si>
  <si>
    <t>France</t>
  </si>
  <si>
    <t>Italy</t>
  </si>
  <si>
    <t>Lithuania</t>
  </si>
  <si>
    <t>Luxembourg</t>
  </si>
  <si>
    <t>Hungary</t>
  </si>
  <si>
    <t>Malta</t>
  </si>
  <si>
    <t>Netherlands</t>
  </si>
  <si>
    <t>Poland</t>
  </si>
  <si>
    <t>Finland</t>
  </si>
  <si>
    <t>Sweden</t>
  </si>
  <si>
    <t>Iceland</t>
  </si>
  <si>
    <t>Switzerland</t>
  </si>
  <si>
    <t>United Kingdom</t>
  </si>
  <si>
    <t>Montenegro</t>
  </si>
  <si>
    <t>North Macedonia</t>
  </si>
  <si>
    <t>Türkiye</t>
  </si>
  <si>
    <t>comunidad-autonoma</t>
  </si>
  <si>
    <t>empresas</t>
  </si>
  <si>
    <t>establecimientos</t>
  </si>
  <si>
    <t>Principado de Asturias</t>
  </si>
  <si>
    <t>Islas Baleares</t>
  </si>
  <si>
    <t>Región de Murcia</t>
  </si>
  <si>
    <t>Comunidad Foral Navarra</t>
  </si>
  <si>
    <t>Ceuta y Melilla</t>
  </si>
  <si>
    <t>Comunidad</t>
  </si>
  <si>
    <t>poblacion_pct</t>
  </si>
  <si>
    <t>kg_pct</t>
  </si>
  <si>
    <t>consumo_por_hab</t>
  </si>
  <si>
    <t>Illes Balears</t>
  </si>
  <si>
    <t>Comunitat Valenciana</t>
  </si>
  <si>
    <t>Castilla Y Leon</t>
  </si>
  <si>
    <t>Pais Vasco</t>
  </si>
  <si>
    <t>C. Foral de Navarra</t>
  </si>
  <si>
    <t>6.1.1. Análisis autonómico de empresas y establecimientos de la Industria de la Alimentación, 2023</t>
  </si>
  <si>
    <t>Empresas</t>
  </si>
  <si>
    <t>Establecimientos</t>
  </si>
  <si>
    <t>Fuente: Directorio Central de Empresas 2023 del I.N.E.</t>
  </si>
  <si>
    <t>Incluye la actividad principal.</t>
  </si>
  <si>
    <t>10: Industria de la alimentación.</t>
  </si>
  <si>
    <t>11: Industria de bebidas.</t>
  </si>
  <si>
    <t>Denominazione
e Organismo di Controllo</t>
  </si>
  <si>
    <t>± su 2023</t>
  </si>
  <si>
    <r>
      <rPr>
        <b/>
        <u/>
        <sz val="10"/>
        <color rgb="FF1155CC"/>
        <rFont val="&quot;Open Sans&quot;, sans-serif"/>
      </rPr>
      <t>Grana Padano</t>
    </r>
    <r>
      <rPr>
        <b/>
        <sz val="10"/>
        <rFont val="&quot;Open Sans&quot;, sans-serif"/>
      </rPr>
      <t xml:space="preserve"> </t>
    </r>
    <r>
      <rPr>
        <b/>
        <u/>
        <sz val="10"/>
        <color rgb="FF1155CC"/>
        <rFont val="&quot;Open Sans&quot;, sans-serif"/>
      </rPr>
      <t>CSQA</t>
    </r>
  </si>
  <si>
    <t>V</t>
  </si>
  <si>
    <r>
      <rPr>
        <b/>
        <u/>
        <sz val="10"/>
        <color rgb="FF1155CC"/>
        <rFont val="&quot;Open Sans&quot;, sans-serif"/>
      </rPr>
      <t>Parmigiano Reggiano</t>
    </r>
  </si>
  <si>
    <r>
      <rPr>
        <b/>
        <u/>
        <sz val="10"/>
        <color rgb="FF1155CC"/>
        <rFont val="&quot;Open Sans&quot;, sans-serif"/>
      </rPr>
      <t>Gorgonzola</t>
    </r>
    <r>
      <rPr>
        <b/>
        <sz val="10"/>
        <rFont val="&quot;Open Sans&quot;, sans-serif"/>
      </rPr>
      <t xml:space="preserve"> </t>
    </r>
    <r>
      <rPr>
        <b/>
        <u/>
        <sz val="10"/>
        <color rgb="FF1155CC"/>
        <rFont val="&quot;Open Sans&quot;, sans-serif"/>
      </rPr>
      <t>CSQA</t>
    </r>
  </si>
  <si>
    <t>n.p.</t>
  </si>
  <si>
    <t>-</t>
  </si>
  <si>
    <r>
      <rPr>
        <b/>
        <u/>
        <sz val="10"/>
        <color rgb="FF1155CC"/>
        <rFont val="&quot;Open Sans&quot;, sans-serif"/>
      </rPr>
      <t>Asiago</t>
    </r>
    <r>
      <rPr>
        <b/>
        <sz val="10"/>
        <rFont val="&quot;Open Sans&quot;, sans-serif"/>
      </rPr>
      <t xml:space="preserve"> </t>
    </r>
    <r>
      <rPr>
        <b/>
        <u/>
        <sz val="10"/>
        <color rgb="FF1155CC"/>
        <rFont val="&quot;Open Sans&quot;, sans-serif"/>
      </rPr>
      <t>CSQA</t>
    </r>
  </si>
  <si>
    <r>
      <rPr>
        <b/>
        <u/>
        <sz val="10"/>
        <color rgb="FF1155CC"/>
        <rFont val="&quot;Open Sans&quot;, sans-serif"/>
      </rPr>
      <t>Taleggio</t>
    </r>
  </si>
  <si>
    <r>
      <rPr>
        <b/>
        <u/>
        <sz val="10"/>
        <color rgb="FF1155CC"/>
        <rFont val="&quot;Open Sans&quot;, sans-serif"/>
      </rPr>
      <t>Provolone Valpadana</t>
    </r>
    <r>
      <rPr>
        <b/>
        <sz val="10"/>
        <rFont val="&quot;Open Sans&quot;, sans-serif"/>
      </rPr>
      <t xml:space="preserve"> </t>
    </r>
    <r>
      <rPr>
        <b/>
        <u/>
        <sz val="10"/>
        <color rgb="FF1155CC"/>
        <rFont val="&quot;Open Sans&quot;, sans-serif"/>
      </rPr>
      <t>CSQA</t>
    </r>
  </si>
  <si>
    <r>
      <rPr>
        <b/>
        <u/>
        <sz val="10"/>
        <color rgb="FF1155CC"/>
        <rFont val="&quot;Open Sans&quot;, sans-serif"/>
      </rPr>
      <t>Montasio</t>
    </r>
    <r>
      <rPr>
        <b/>
        <sz val="10"/>
        <rFont val="&quot;Open Sans&quot;, sans-serif"/>
      </rPr>
      <t xml:space="preserve"> </t>
    </r>
    <r>
      <rPr>
        <b/>
        <u/>
        <sz val="10"/>
        <color rgb="FF1155CC"/>
        <rFont val="&quot;Open Sans&quot;, sans-serif"/>
      </rPr>
      <t>CSQA</t>
    </r>
  </si>
  <si>
    <r>
      <t xml:space="preserve">Fontina </t>
    </r>
    <r>
      <rPr>
        <b/>
        <u/>
        <sz val="10"/>
        <color rgb="FF1155CC"/>
        <rFont val="&quot;Open Sans&quot;, sans-serif"/>
      </rPr>
      <t>CSQA</t>
    </r>
  </si>
  <si>
    <r>
      <rPr>
        <b/>
        <u/>
        <sz val="10"/>
        <color rgb="FF1155CC"/>
        <rFont val="&quot;Open Sans&quot;, sans-serif"/>
      </rPr>
      <t>Quartirolo Lombardo</t>
    </r>
  </si>
  <si>
    <r>
      <rPr>
        <b/>
        <u/>
        <sz val="10"/>
        <color rgb="FF1155CC"/>
        <rFont val="&quot;Open Sans&quot;, sans-serif"/>
      </rPr>
      <t>Piave</t>
    </r>
    <r>
      <rPr>
        <b/>
        <sz val="10"/>
        <rFont val="&quot;Open Sans&quot;, sans-serif"/>
      </rPr>
      <t xml:space="preserve"> 4 </t>
    </r>
    <r>
      <rPr>
        <b/>
        <u/>
        <sz val="10"/>
        <color rgb="FF1155CC"/>
        <rFont val="&quot;Open Sans&quot;, sans-serif"/>
      </rPr>
      <t>CSQA</t>
    </r>
  </si>
  <si>
    <r>
      <rPr>
        <b/>
        <u/>
        <sz val="10"/>
        <color rgb="FF1155CC"/>
        <rFont val="&quot;Open Sans&quot;, sans-serif"/>
      </rPr>
      <t>Valtellina Casera</t>
    </r>
    <r>
      <rPr>
        <b/>
        <sz val="10"/>
        <rFont val="&quot;Open Sans&quot;, sans-serif"/>
      </rPr>
      <t xml:space="preserve"> </t>
    </r>
    <r>
      <rPr>
        <b/>
        <u/>
        <sz val="10"/>
        <color rgb="FF1155CC"/>
        <rFont val="&quot;Open Sans&quot;, sans-serif"/>
      </rPr>
      <t>CSQA</t>
    </r>
  </si>
  <si>
    <r>
      <t xml:space="preserve">Toma Piemontese </t>
    </r>
    <r>
      <rPr>
        <b/>
        <u/>
        <sz val="10"/>
        <color rgb="FF1155CC"/>
        <rFont val="&quot;Open Sans&quot;, sans-serif"/>
      </rPr>
      <t>INOQ</t>
    </r>
  </si>
  <si>
    <r>
      <rPr>
        <b/>
        <u/>
        <sz val="10"/>
        <color rgb="FF1155CC"/>
        <rFont val="&quot;Open Sans&quot;, sans-serif"/>
      </rPr>
      <t>Monte Veronese</t>
    </r>
    <r>
      <rPr>
        <b/>
        <sz val="10"/>
        <rFont val="&quot;Open Sans&quot;, sans-serif"/>
      </rPr>
      <t xml:space="preserve"> </t>
    </r>
    <r>
      <rPr>
        <b/>
        <u/>
        <sz val="10"/>
        <color rgb="FF1155CC"/>
        <rFont val="&quot;Open Sans&quot;, sans-serif"/>
      </rPr>
      <t>CSQA</t>
    </r>
  </si>
  <si>
    <r>
      <t xml:space="preserve">Raschera </t>
    </r>
    <r>
      <rPr>
        <b/>
        <u/>
        <sz val="10"/>
        <color rgb="FF1155CC"/>
        <rFont val="&quot;Open Sans&quot;, sans-serif"/>
      </rPr>
      <t>INOQ</t>
    </r>
  </si>
  <si>
    <r>
      <t xml:space="preserve">Bra </t>
    </r>
    <r>
      <rPr>
        <b/>
        <u/>
        <sz val="10"/>
        <color rgb="FF1155CC"/>
        <rFont val="&quot;Open Sans&quot;, sans-serif"/>
      </rPr>
      <t>INOQ</t>
    </r>
  </si>
  <si>
    <r>
      <t xml:space="preserve">Casatella Trevigiana </t>
    </r>
    <r>
      <rPr>
        <b/>
        <u/>
        <sz val="10"/>
        <color rgb="FF1155CC"/>
        <rFont val="&quot;Open Sans&quot;, sans-serif"/>
      </rPr>
      <t>CSQA</t>
    </r>
  </si>
  <si>
    <r>
      <t xml:space="preserve">Puzzone di Moena </t>
    </r>
    <r>
      <rPr>
        <b/>
        <u/>
        <sz val="10"/>
        <color rgb="FF1155CC"/>
        <rFont val="&quot;Open Sans&quot;, sans-serif"/>
      </rPr>
      <t>CSQA</t>
    </r>
  </si>
  <si>
    <t>Mozzarella di Gioia del Colle</t>
  </si>
  <si>
    <t>Salva Cremasco</t>
  </si>
  <si>
    <r>
      <t xml:space="preserve">Castelmagno </t>
    </r>
    <r>
      <rPr>
        <b/>
        <u/>
        <sz val="10"/>
        <color rgb="FF1155CC"/>
        <rFont val="&quot;Open Sans&quot;, sans-serif"/>
      </rPr>
      <t>INOQ</t>
    </r>
  </si>
  <si>
    <t>Ragusano 3</t>
  </si>
  <si>
    <r>
      <rPr>
        <b/>
        <u/>
        <sz val="10"/>
        <color rgb="FF1155CC"/>
        <rFont val="&quot;Open Sans&quot;, sans-serif"/>
      </rPr>
      <t>Formai de Mut</t>
    </r>
  </si>
  <si>
    <r>
      <t xml:space="preserve">Silter </t>
    </r>
    <r>
      <rPr>
        <b/>
        <u/>
        <sz val="10"/>
        <color rgb="FF1155CC"/>
        <rFont val="&quot;Open Sans&quot;, sans-serif"/>
      </rPr>
      <t>CSQA</t>
    </r>
  </si>
  <si>
    <r>
      <t xml:space="preserve">Spressa delle Giudicarie </t>
    </r>
    <r>
      <rPr>
        <b/>
        <u/>
        <sz val="10"/>
        <color rgb="FF1155CC"/>
        <rFont val="&quot;Open Sans&quot;, sans-serif"/>
      </rPr>
      <t>CSQA</t>
    </r>
  </si>
  <si>
    <r>
      <t xml:space="preserve">Strachitunt </t>
    </r>
    <r>
      <rPr>
        <b/>
        <u/>
        <sz val="10"/>
        <color rgb="FF1155CC"/>
        <rFont val="&quot;Open Sans&quot;, sans-serif"/>
      </rPr>
      <t>CSQA</t>
    </r>
  </si>
  <si>
    <r>
      <t xml:space="preserve">Valle d'Aosta Fromadzo </t>
    </r>
    <r>
      <rPr>
        <b/>
        <u/>
        <sz val="10"/>
        <color rgb="FF1155CC"/>
        <rFont val="&quot;Open Sans&quot;, sans-serif"/>
      </rPr>
      <t>CSQA</t>
    </r>
  </si>
  <si>
    <r>
      <t xml:space="preserve">Ossolano </t>
    </r>
    <r>
      <rPr>
        <b/>
        <u/>
        <sz val="10"/>
        <color rgb="FF1155CC"/>
        <rFont val="&quot;Open Sans&quot;, sans-serif"/>
      </rPr>
      <t>INOQ</t>
    </r>
  </si>
  <si>
    <r>
      <t xml:space="preserve">Nostrano Valtrompia </t>
    </r>
    <r>
      <rPr>
        <b/>
        <u/>
        <sz val="10"/>
        <color rgb="FF1155CC"/>
        <rFont val="&quot;Open Sans&quot;, sans-serif"/>
      </rPr>
      <t>CSQA</t>
    </r>
  </si>
  <si>
    <t>&gt;1000%</t>
  </si>
  <si>
    <t>Provolone del Monaco</t>
  </si>
  <si>
    <r>
      <rPr>
        <b/>
        <u/>
        <sz val="10"/>
        <color rgb="FF1155CC"/>
        <rFont val="&quot;Open Sans&quot;, sans-serif"/>
      </rPr>
      <t>Bitto (10% C)</t>
    </r>
    <r>
      <rPr>
        <b/>
        <sz val="10"/>
        <rFont val="&quot;Open Sans&quot;, sans-serif"/>
      </rPr>
      <t xml:space="preserve"> </t>
    </r>
    <r>
      <rPr>
        <b/>
        <u/>
        <sz val="10"/>
        <color rgb="FF1155CC"/>
        <rFont val="&quot;Open Sans&quot;, sans-serif"/>
      </rPr>
      <t>CSQA</t>
    </r>
  </si>
  <si>
    <t>M</t>
  </si>
  <si>
    <r>
      <t xml:space="preserve">Robiola di Roccaverano </t>
    </r>
    <r>
      <rPr>
        <b/>
        <u/>
        <sz val="10"/>
        <color rgb="FF1155CC"/>
        <rFont val="&quot;Open Sans&quot;, sans-serif"/>
      </rPr>
      <t>INOQ</t>
    </r>
  </si>
  <si>
    <t>Casciotta d'Urbino (70% P)</t>
  </si>
  <si>
    <r>
      <t xml:space="preserve">Murazzano (60% P) </t>
    </r>
    <r>
      <rPr>
        <b/>
        <u/>
        <sz val="10"/>
        <color rgb="FF1155CC"/>
        <rFont val="&quot;Open Sans&quot;, sans-serif"/>
      </rPr>
      <t>INOQ</t>
    </r>
  </si>
  <si>
    <t>Totale</t>
  </si>
  <si>
    <r>
      <rPr>
        <b/>
        <u/>
        <sz val="10"/>
        <color rgb="FF1155CC"/>
        <rFont val="&quot;Open Sans&quot;, sans-serif"/>
      </rPr>
      <t>Mozzarella di bufala campana</t>
    </r>
  </si>
  <si>
    <t>B</t>
  </si>
  <si>
    <r>
      <rPr>
        <b/>
        <u/>
        <sz val="10"/>
        <color rgb="FF1155CC"/>
        <rFont val="&quot;Open Sans&quot;, sans-serif"/>
      </rPr>
      <t>Pecorino Romano</t>
    </r>
    <r>
      <rPr>
        <b/>
        <sz val="10"/>
        <rFont val="&quot;Open Sans&quot;, sans-serif"/>
      </rPr>
      <t xml:space="preserve"> 1 </t>
    </r>
    <r>
      <rPr>
        <b/>
        <u/>
        <sz val="10"/>
        <color rgb="FF1155CC"/>
        <rFont val="&quot;Open Sans&quot;, sans-serif"/>
      </rPr>
      <t>IFCQ</t>
    </r>
  </si>
  <si>
    <t>P</t>
  </si>
  <si>
    <t>Fiore Sardo 2</t>
  </si>
  <si>
    <t>Pecorino Siciliano 3</t>
  </si>
  <si>
    <t>Canestrato Pugliese</t>
  </si>
  <si>
    <t>Pecorino di Filiano</t>
  </si>
  <si>
    <r>
      <rPr>
        <b/>
        <u/>
        <sz val="10"/>
        <color rgb="FF1155CC"/>
        <rFont val="&quot;Open Sans&quot;, sans-serif"/>
      </rPr>
      <t>Formaggella del Luinese</t>
    </r>
  </si>
  <si>
    <t>CLAL - Italia: Produzioni di Formaggi DOP</t>
  </si>
  <si>
    <t>fromage</t>
  </si>
  <si>
    <t>type</t>
  </si>
  <si>
    <t>lait</t>
  </si>
  <si>
    <t>persillée</t>
  </si>
  <si>
    <t>vache</t>
  </si>
  <si>
    <t>PPC</t>
  </si>
  <si>
    <t>PPNC</t>
  </si>
  <si>
    <t>pâtes molles</t>
  </si>
  <si>
    <t>Brie de Melun1</t>
  </si>
  <si>
    <t>frais (sérum)</t>
  </si>
  <si>
    <t>brebis</t>
  </si>
  <si>
    <t>persillées</t>
  </si>
  <si>
    <t>chèvre</t>
  </si>
  <si>
    <t>Nombre del Queso</t>
  </si>
  <si>
    <t>Tipo de Protección</t>
  </si>
  <si>
    <t>Región de Producción</t>
  </si>
  <si>
    <t>Región de Allgäu</t>
  </si>
  <si>
    <t>Altenburg</t>
  </si>
  <si>
    <t>Región de Odenwald</t>
  </si>
  <si>
    <t>Friesischer Käse</t>
  </si>
  <si>
    <t>Frisia</t>
  </si>
  <si>
    <t>Tilsiter Käse</t>
  </si>
  <si>
    <t>Diversas regiones, raíces prusianas</t>
  </si>
  <si>
    <t>Mainzer Käse</t>
  </si>
  <si>
    <t>Mainz</t>
  </si>
  <si>
    <t>Harzer Käse</t>
  </si>
  <si>
    <t>Región de Harz</t>
  </si>
  <si>
    <t>Región de Holstein</t>
  </si>
  <si>
    <t>PGI</t>
  </si>
  <si>
    <t>Data not readily available</t>
  </si>
  <si>
    <t>A blue cheese with a Protected Geographical Indication.</t>
  </si>
  <si>
    <t>A semi-hard cheese with a distinctive aroma.</t>
  </si>
  <si>
    <t>A popular, mild, semi-hard cheese in Denmark.</t>
  </si>
  <si>
    <t>A semi-soft, buttery cheese with many small holes.</t>
  </si>
  <si>
    <t>Danish PGI cheeses</t>
  </si>
  <si>
    <t>Danablu, Esrom, Danbo and Havarti are the four Danish cheeses recognised for PGI.</t>
  </si>
  <si>
    <r>
      <t>The PGI (</t>
    </r>
    <r>
      <rPr>
        <u/>
        <sz val="12"/>
        <color rgb="FF1155CC"/>
        <rFont val="raleway, sans-serif"/>
      </rPr>
      <t>Protected Geographical Indications</t>
    </r>
    <r>
      <rPr>
        <sz val="12"/>
        <color rgb="FF000000"/>
        <rFont val="raleway, sans-serif"/>
      </rPr>
      <t>) mark means that Danablu, Esrom, Danbo and Havarti may only be produced in Denmark using Danish milk, and only at approved dairies that are regularly inspected to ensure that they follow the specific production guidelines.</t>
    </r>
  </si>
  <si>
    <t>Producers of Danablu: Arla Foods, Høgelund Dairy; Bornholm Cooperative Dairy / St. Clement; Mammen Dairies, Drøsbro Dairy.</t>
  </si>
  <si>
    <t>Producers of Esrom: Thise Dairy; Arla Foods, Nr. Vium Dairy.</t>
  </si>
  <si>
    <t>Producers of Danbo: Arla Foods, Taulov Dairy and Tistrup Dairy; Nørup Dairy; Mammen Dairy; Them Dairy; Thise Dairy / Dybbækdal Dairy; Asaa Dairy; Jernved Dairy.</t>
  </si>
  <si>
    <t>Producers of Havarti: Arla Foods, Taulov Dairy and Nr. Vium Dairy; Nørup Dairy; Mammen Dairy; Grøndal Dairy; Them Dairy; Jernved Dairy; Bornholm Cooperative Dairy / St. Clement.</t>
  </si>
  <si>
    <r>
      <rPr>
        <u/>
        <sz val="10"/>
        <color rgb="FF1155CC"/>
        <rFont val="Arial"/>
        <family val="2"/>
      </rPr>
      <t>Danish PGI cheeses - Danish Dairy Board</t>
    </r>
  </si>
  <si>
    <t>| Tipo de Queso | Total de Empresas | Nombres de las Empresas                                  |</t>
  </si>
  <si>
    <t>|----------------|-------------------|---------------------------------------------------------|</t>
  </si>
  <si>
    <t>| Danablu        | 5                 | Arla Foods, Høgelund Dairy, Bornholm Cooperative Dairy / St. Clement, Mammen Dairies, Drøsbro Dairy |</t>
  </si>
  <si>
    <t>| Esrom          | 3                 | Thise Dairy, Arla Foods, Nr. Vium Dairy                 |</t>
  </si>
  <si>
    <t>| Danbo          | 8                 | Arla Foods, Taulov Dairy, Tistrup Dairy, Nørup Dairy, Mammen Dairy, Them Dairy, Thise Dairy / Dybbækdal Dairy, Asaa Dairy, Jernved Dairy |</t>
  </si>
  <si>
    <t>| Havarti        | 8                 | Arla Foods, Taulov Dairy, Nr. Vium Dairy, Nørup Dairy, Mammen Dairy, Grøndal Dairy, Them Dairy, Jernved Dairy, Bornholm Cooperative Dairy / St. Clement |</t>
  </si>
  <si>
    <t>De ese listado, el número total de empresas diferentes que fabrican al menos uno de estos quesos es 11.</t>
  </si>
  <si>
    <t>Las empresas únicas identificadas son:</t>
  </si>
  <si>
    <t>Arla Foods</t>
  </si>
  <si>
    <t>Høgelund Dairy</t>
  </si>
  <si>
    <t>Bornholm Cooperative Dairy / St. Clement</t>
  </si>
  <si>
    <t>Mammen Dairies</t>
  </si>
  <si>
    <t>Drøsbro Dairy</t>
  </si>
  <si>
    <t>Thise Dairy</t>
  </si>
  <si>
    <t>Nr. Vium Dairy</t>
  </si>
  <si>
    <t>Taulov Dairy</t>
  </si>
  <si>
    <t>Tistrup Dairy</t>
  </si>
  <si>
    <t>Nørup Dairy</t>
  </si>
  <si>
    <t>Them Dairy</t>
  </si>
  <si>
    <t>Dybbækdal Dairy</t>
  </si>
  <si>
    <t>Asaa Dairy</t>
  </si>
  <si>
    <t>Jernved Dairy</t>
  </si>
  <si>
    <t>Grøndal Dairy</t>
  </si>
  <si>
    <t>Country</t>
  </si>
  <si>
    <t>Cheese Name</t>
  </si>
  <si>
    <t>DOP/PGI</t>
  </si>
  <si>
    <t>Estimated Annual Volume (where available)</t>
  </si>
  <si>
    <t>Notes</t>
  </si>
  <si>
    <t>Noord-Hollandse Gouda</t>
  </si>
  <si>
    <t>Gouda cheese exclusively from North Holland. Often considered more refined.</t>
  </si>
  <si>
    <t>Noord-Hollandse Edam</t>
  </si>
  <si>
    <t>Edam cheese exclusively from North Holland.</t>
  </si>
  <si>
    <t>Boeren-Leidse met Sleutels</t>
  </si>
  <si>
    <t>Traditional raw milk cheese from Leiden with cumin and imprinted keys.</t>
  </si>
  <si>
    <t>Kanterkaas / Kanternagelkaas / Kanterkomijnekaas</t>
  </si>
  <si>
    <t>Frisian cheese with straight edges, sometimes with cloves or cumin.</t>
  </si>
  <si>
    <t>Gouda made in the Netherlands from Dutch cow's milk. This PGI covers a significant portion of Dutch Gouda production.</t>
  </si>
  <si>
    <t>Edam made in the Netherlands from Dutch cow's milk. Similar to Gouda Holland, this covers a large part of Dutch Edam production.</t>
  </si>
  <si>
    <t>Hollandse Geitenkaas (Dutch Goat Cheese)</t>
  </si>
  <si>
    <t>Goat cheese made in the Netherlands from Dutch dairy goats using traditional methods.</t>
  </si>
  <si>
    <t>Status</t>
  </si>
  <si>
    <t>Quantities (tons)</t>
  </si>
  <si>
    <t>Leche</t>
  </si>
  <si>
    <t>Anevato</t>
  </si>
  <si>
    <t>Oveja y cabra</t>
  </si>
  <si>
    <t>Principalmente oveja, con algo de cabra</t>
  </si>
  <si>
    <t>Oveja o mezcla de oveja y cabra</t>
  </si>
  <si>
    <t>Feta</t>
  </si>
  <si>
    <t>Oveja (mín. 70%) y hasta 30% de cabra</t>
  </si>
  <si>
    <t>Feta organico</t>
  </si>
  <si>
    <t>Oveja (mín. 70%) y hasta 30% de cabra (ecológica)</t>
  </si>
  <si>
    <t>Oveja o cabra, o mezcla de ambas</t>
  </si>
  <si>
    <t>Kasseri</t>
  </si>
  <si>
    <t>Oveja (mín. 80%) y hasta 20% de cabra</t>
  </si>
  <si>
    <t>Kasseri organico</t>
  </si>
  <si>
    <t>Oveja (mín. 80%) y hasta 20% de cabra (ecológica)</t>
  </si>
  <si>
    <t>Oveja (predominantemente) y hasta 20% de cabra</t>
  </si>
  <si>
    <t>Vaca, oveja o cabra, o mezcla de ellas</t>
  </si>
  <si>
    <t>Principalmente vaca, a veces con oveja o cabra</t>
  </si>
  <si>
    <t>Ladotyri Mytilinis</t>
  </si>
  <si>
    <t>Ladotyri Mytilinis organico</t>
  </si>
  <si>
    <t>Oveja (ecológica)</t>
  </si>
  <si>
    <t>Manouri</t>
  </si>
  <si>
    <t>Suero de oveja o cabra con crema de leche de oveja o cabra</t>
  </si>
  <si>
    <t>Anevato orgánico</t>
  </si>
  <si>
    <t>Oveja y cabra (ecológica)</t>
  </si>
  <si>
    <t>Manouri orgánico</t>
  </si>
  <si>
    <t>Suero de oveja o cabra (ecológica) con crema de leche de oveja o cabra (ecológica)</t>
  </si>
  <si>
    <t>Suero de oveja o cabra</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</si>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</sst>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h:mm"/>
  </numFmts>
  <fonts count="47">
    <font>
      <sz val="10"/>
      <color rgb="FF000000"/>
      <name val="Arial"/>
      <scheme val="minor"/>
    </font>
    <font>
      <b/>
      <sz val="10"/>
      <color theme="1"/>
      <name val="Arial"/>
      <family val="2"/>
      <scheme val="minor"/>
    </font>
    <font>
      <sz val="10"/>
      <color theme="1"/>
      <name val="Arial"/>
      <family val="2"/>
      <scheme val="minor"/>
    </font>
    <font>
      <sz val="10"/>
      <color theme="1"/>
      <name val="Arial"/>
      <family val="2"/>
    </font>
    <font>
      <sz val="9"/>
      <color rgb="FF000000"/>
      <name val="Calibri"/>
      <family val="2"/>
    </font>
    <font>
      <sz val="11"/>
      <color theme="1"/>
      <name val="Arial"/>
      <family val="2"/>
    </font>
    <font>
      <sz val="11"/>
      <color theme="1"/>
      <name val="&quot;Aptos Narrow&quot;"/>
    </font>
    <font>
      <sz val="11"/>
      <color rgb="FF000000"/>
      <name val="&quot;Aptos Narrow&quot;"/>
    </font>
    <font>
      <sz val="11"/>
      <color rgb="FF000000"/>
      <name val="Arial"/>
      <family val="2"/>
    </font>
    <font>
      <b/>
      <sz val="11"/>
      <color rgb="FFFFFFFF"/>
      <name val="&quot;Aptos Narrow&quot;"/>
    </font>
    <font>
      <b/>
      <sz val="11"/>
      <color rgb="FFFFFFFF"/>
      <name val="Arial"/>
      <family val="2"/>
    </font>
    <font>
      <sz val="9"/>
      <color theme="1"/>
      <name val="Arial"/>
      <family val="2"/>
    </font>
    <font>
      <b/>
      <sz val="9"/>
      <color theme="1"/>
      <name val="Arial"/>
      <family val="2"/>
    </font>
    <font>
      <u/>
      <sz val="10"/>
      <color rgb="FF0000FF"/>
      <name val="Arial"/>
      <family val="2"/>
    </font>
    <font>
      <b/>
      <sz val="9"/>
      <color rgb="FFFFFFFF"/>
      <name val="Arial"/>
      <family val="2"/>
    </font>
    <font>
      <sz val="10"/>
      <name val="Arial"/>
      <family val="2"/>
    </font>
    <font>
      <b/>
      <sz val="10"/>
      <color rgb="FF393939"/>
      <name val="&quot;Open Sans&quot;"/>
    </font>
    <font>
      <b/>
      <u/>
      <sz val="10"/>
      <color rgb="FF0000FF"/>
      <name val="&quot;Open Sans&quot;"/>
    </font>
    <font>
      <b/>
      <sz val="10"/>
      <color rgb="FF444444"/>
      <name val="&quot;Open Sans&quot;"/>
    </font>
    <font>
      <sz val="10"/>
      <color rgb="FF444444"/>
      <name val="&quot;Open Sans&quot;"/>
    </font>
    <font>
      <i/>
      <sz val="8"/>
      <color rgb="FF008000"/>
      <name val="&quot;Open Sans&quot;"/>
    </font>
    <font>
      <b/>
      <sz val="10"/>
      <color rgb="FF222222"/>
      <name val="&quot;Open Sans&quot;"/>
    </font>
    <font>
      <sz val="10"/>
      <color rgb="FF222222"/>
      <name val="&quot;Open Sans&quot;"/>
    </font>
    <font>
      <i/>
      <sz val="10"/>
      <color rgb="FF444444"/>
      <name val="&quot;Open Sans&quot;"/>
    </font>
    <font>
      <i/>
      <sz val="8"/>
      <color rgb="FF006699"/>
      <name val="&quot;Open Sans&quot;"/>
    </font>
    <font>
      <i/>
      <sz val="10"/>
      <color rgb="FF222222"/>
      <name val="&quot;Open Sans&quot;"/>
    </font>
    <font>
      <i/>
      <sz val="8"/>
      <color rgb="FFFF0000"/>
      <name val="&quot;Open Sans&quot;"/>
    </font>
    <font>
      <b/>
      <sz val="10"/>
      <color rgb="FF005F9B"/>
      <name val="&quot;Open Sans&quot;"/>
    </font>
    <font>
      <b/>
      <sz val="11"/>
      <color rgb="FFFFFFFF"/>
      <name val="&quot;Open Sans&quot;"/>
    </font>
    <font>
      <b/>
      <sz val="11"/>
      <color rgb="FF000000"/>
      <name val="&quot;Open Sans&quot;"/>
    </font>
    <font>
      <b/>
      <i/>
      <sz val="11"/>
      <color rgb="FF008000"/>
      <name val="&quot;Open Sans&quot;"/>
    </font>
    <font>
      <sz val="11"/>
      <color rgb="FF222222"/>
      <name val="&quot;Open Sans&quot;"/>
    </font>
    <font>
      <b/>
      <i/>
      <sz val="11"/>
      <color rgb="FF006699"/>
      <name val="&quot;Open Sans&quot;"/>
    </font>
    <font>
      <u/>
      <sz val="10"/>
      <color rgb="FF0000FF"/>
      <name val="Arial"/>
      <family val="2"/>
    </font>
    <font>
      <sz val="9"/>
      <color rgb="FF333333"/>
      <name val="Arial"/>
      <family val="2"/>
    </font>
    <font>
      <i/>
      <sz val="9"/>
      <color rgb="FF333333"/>
      <name val="Arial"/>
      <family val="2"/>
    </font>
    <font>
      <b/>
      <sz val="10"/>
      <color rgb="FF000000"/>
      <name val="&quot;Libre Baskerville&quot;"/>
    </font>
    <font>
      <u/>
      <sz val="12"/>
      <color rgb="FF000000"/>
      <name val="Raleway"/>
    </font>
    <font>
      <sz val="12"/>
      <color rgb="FF000000"/>
      <name val="Raleway"/>
    </font>
    <font>
      <b/>
      <sz val="12"/>
      <color rgb="FF000000"/>
      <name val="Raleway"/>
    </font>
    <font>
      <sz val="10"/>
      <color rgb="FF575B5F"/>
      <name val="Arial"/>
      <family val="2"/>
      <scheme val="minor"/>
    </font>
    <font>
      <sz val="10"/>
      <color rgb="FF1B1C1D"/>
      <name val="Arial"/>
      <family val="2"/>
      <scheme val="minor"/>
    </font>
    <font>
      <u/>
      <sz val="10"/>
      <color rgb="FF1155CC"/>
      <name val="Arial"/>
      <family val="2"/>
    </font>
    <font>
      <b/>
      <u/>
      <sz val="10"/>
      <color rgb="FF1155CC"/>
      <name val="&quot;Open Sans&quot;, sans-serif"/>
    </font>
    <font>
      <b/>
      <sz val="10"/>
      <name val="&quot;Open Sans&quot;, sans-serif"/>
    </font>
    <font>
      <u/>
      <sz val="12"/>
      <color rgb="FF1155CC"/>
      <name val="raleway, sans-serif"/>
    </font>
    <font>
      <sz val="12"/>
      <color rgb="FF000000"/>
      <name val="raleway, sans-serif"/>
    </font>
  </fonts>
  <fills count="15">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rgb="FF4669AF"/>
        <bgColor rgb="FF4669AF"/>
      </patternFill>
    </fill>
    <fill>
      <patternFill patternType="solid">
        <fgColor rgb="FF0096DC"/>
        <bgColor rgb="FF0096DC"/>
      </patternFill>
    </fill>
    <fill>
      <patternFill patternType="solid">
        <fgColor rgb="FFC0C0C0"/>
        <bgColor rgb="FFC0C0C0"/>
      </patternFill>
    </fill>
    <fill>
      <patternFill patternType="solid">
        <fgColor rgb="FFDCE6F1"/>
        <bgColor rgb="FFDCE6F1"/>
      </patternFill>
    </fill>
    <fill>
      <patternFill patternType="solid">
        <fgColor rgb="FFF6F6F6"/>
        <bgColor rgb="FFF6F6F6"/>
      </patternFill>
    </fill>
    <fill>
      <patternFill patternType="solid">
        <fgColor rgb="FFDDDDDD"/>
        <bgColor rgb="FFDDDDDD"/>
      </patternFill>
    </fill>
    <fill>
      <patternFill patternType="solid">
        <fgColor rgb="FFFAFAFA"/>
        <bgColor rgb="FFFAFAFA"/>
      </patternFill>
    </fill>
    <fill>
      <patternFill patternType="solid">
        <fgColor rgb="FFEFEFEF"/>
        <bgColor rgb="FFEFEFEF"/>
      </patternFill>
    </fill>
    <fill>
      <patternFill patternType="solid">
        <fgColor rgb="FFFF9900"/>
        <bgColor rgb="FFFF9900"/>
      </patternFill>
    </fill>
    <fill>
      <patternFill patternType="solid">
        <fgColor rgb="FFFFE0B3"/>
        <bgColor rgb="FFFFE0B3"/>
      </patternFill>
    </fill>
    <fill>
      <patternFill patternType="solid">
        <fgColor rgb="FFFFFFFF"/>
        <bgColor rgb="FFFFFFFF"/>
      </patternFill>
    </fill>
  </fills>
  <borders count="12">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top/>
      <bottom style="medium">
        <color rgb="FFBBBBBB"/>
      </bottom>
      <diagonal/>
    </border>
    <border>
      <left style="thin">
        <color rgb="FF333333"/>
      </left>
      <right/>
      <top style="thin">
        <color rgb="FF333333"/>
      </top>
      <bottom/>
      <diagonal/>
    </border>
    <border>
      <left/>
      <right/>
      <top/>
      <bottom style="thin">
        <color rgb="FF000000"/>
      </bottom>
      <diagonal/>
    </border>
  </borders>
  <cellStyleXfs count="1">
    <xf numFmtId="0" fontId="0" fillId="0" borderId="0"/>
  </cellStyleXfs>
  <cellXfs count="96">
    <xf numFmtId="0" fontId="0" fillId="0" borderId="0" xfId="0"/>
    <xf numFmtId="0" fontId="1" fillId="0" borderId="0" xfId="0" applyFont="1" applyAlignment="1">
      <alignment horizontal="center"/>
    </xf>
    <xf numFmtId="0" fontId="2" fillId="0" borderId="0" xfId="0" applyFont="1"/>
    <xf numFmtId="3" fontId="2" fillId="0" borderId="0" xfId="0" applyNumberFormat="1" applyFont="1"/>
    <xf numFmtId="3" fontId="3" fillId="0" borderId="0" xfId="0" applyNumberFormat="1" applyFont="1" applyAlignment="1">
      <alignment horizontal="right"/>
    </xf>
    <xf numFmtId="1" fontId="2" fillId="0" borderId="0" xfId="0" applyNumberFormat="1" applyFont="1"/>
    <xf numFmtId="49" fontId="3" fillId="0" borderId="0" xfId="0" applyNumberFormat="1" applyFont="1" applyAlignment="1">
      <alignment horizontal="left"/>
    </xf>
    <xf numFmtId="49" fontId="2"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xf numFmtId="0" fontId="2" fillId="0" borderId="0" xfId="0" applyFont="1" applyAlignment="1">
      <alignment vertical="center"/>
    </xf>
    <xf numFmtId="3" fontId="2" fillId="0" borderId="0" xfId="0" applyNumberFormat="1" applyFont="1" applyAlignment="1">
      <alignment vertical="center"/>
    </xf>
    <xf numFmtId="0" fontId="3" fillId="0" borderId="0" xfId="0" applyFont="1" applyAlignment="1">
      <alignment horizontal="right"/>
    </xf>
    <xf numFmtId="0" fontId="4" fillId="0" borderId="0" xfId="0" applyFont="1" applyAlignment="1">
      <alignment vertical="top"/>
    </xf>
    <xf numFmtId="0" fontId="5" fillId="0" borderId="0" xfId="0" applyFont="1" applyAlignment="1">
      <alignment horizontal="left"/>
    </xf>
    <xf numFmtId="49" fontId="5" fillId="0" borderId="0" xfId="0" applyNumberFormat="1" applyFont="1" applyAlignment="1">
      <alignment horizontal="left"/>
    </xf>
    <xf numFmtId="0" fontId="6" fillId="0" borderId="0" xfId="0" applyFont="1" applyAlignment="1">
      <alignment horizontal="left"/>
    </xf>
    <xf numFmtId="0" fontId="7" fillId="0" borderId="0" xfId="0" applyFont="1"/>
    <xf numFmtId="0" fontId="8" fillId="0" borderId="0" xfId="0" applyFont="1" applyAlignment="1">
      <alignment horizontal="right"/>
    </xf>
    <xf numFmtId="0" fontId="7" fillId="0" borderId="0" xfId="0" applyFont="1" applyAlignment="1">
      <alignment horizontal="right"/>
    </xf>
    <xf numFmtId="0" fontId="8" fillId="0" borderId="0" xfId="0" applyFont="1"/>
    <xf numFmtId="3" fontId="7" fillId="0" borderId="0" xfId="0" applyNumberFormat="1" applyFont="1" applyAlignment="1">
      <alignment horizontal="right"/>
    </xf>
    <xf numFmtId="0" fontId="9" fillId="2" borderId="1" xfId="0" applyFont="1" applyFill="1" applyBorder="1"/>
    <xf numFmtId="0" fontId="9" fillId="2" borderId="2" xfId="0" applyFont="1" applyFill="1" applyBorder="1"/>
    <xf numFmtId="0" fontId="9" fillId="2" borderId="0" xfId="0" applyFont="1" applyFill="1"/>
    <xf numFmtId="0" fontId="10" fillId="2" borderId="2" xfId="0" applyFont="1" applyFill="1" applyBorder="1"/>
    <xf numFmtId="0" fontId="7" fillId="3" borderId="3" xfId="0" applyFont="1" applyFill="1" applyBorder="1"/>
    <xf numFmtId="0" fontId="7" fillId="3" borderId="4" xfId="0" applyFont="1" applyFill="1" applyBorder="1"/>
    <xf numFmtId="3" fontId="7" fillId="3" borderId="4" xfId="0" applyNumberFormat="1" applyFont="1" applyFill="1" applyBorder="1" applyAlignment="1">
      <alignment horizontal="right"/>
    </xf>
    <xf numFmtId="0" fontId="7" fillId="3" borderId="4" xfId="0" applyFont="1" applyFill="1" applyBorder="1" applyAlignment="1">
      <alignment horizontal="right"/>
    </xf>
    <xf numFmtId="3" fontId="7" fillId="3" borderId="2" xfId="0" applyNumberFormat="1" applyFont="1" applyFill="1" applyBorder="1" applyAlignment="1">
      <alignment horizontal="right"/>
    </xf>
    <xf numFmtId="0" fontId="7" fillId="0" borderId="3" xfId="0" applyFont="1" applyBorder="1"/>
    <xf numFmtId="0" fontId="7" fillId="0" borderId="4" xfId="0" applyFont="1" applyBorder="1"/>
    <xf numFmtId="3" fontId="7" fillId="0" borderId="4" xfId="0" applyNumberFormat="1" applyFont="1" applyBorder="1" applyAlignment="1">
      <alignment horizontal="right"/>
    </xf>
    <xf numFmtId="0" fontId="7" fillId="0" borderId="4" xfId="0" applyFont="1" applyBorder="1" applyAlignment="1">
      <alignment horizontal="right"/>
    </xf>
    <xf numFmtId="3" fontId="8" fillId="3" borderId="4" xfId="0" applyNumberFormat="1" applyFont="1" applyFill="1" applyBorder="1" applyAlignment="1">
      <alignment horizontal="right"/>
    </xf>
    <xf numFmtId="3" fontId="8" fillId="0" borderId="4" xfId="0" applyNumberFormat="1" applyFont="1" applyBorder="1" applyAlignment="1">
      <alignment horizontal="right"/>
    </xf>
    <xf numFmtId="0" fontId="11" fillId="0" borderId="0" xfId="0" applyFont="1" applyAlignment="1">
      <alignment horizontal="left"/>
    </xf>
    <xf numFmtId="0" fontId="12" fillId="0" borderId="0" xfId="0" applyFont="1" applyAlignment="1">
      <alignment horizontal="left"/>
    </xf>
    <xf numFmtId="0" fontId="13" fillId="0" borderId="0" xfId="0" applyFont="1"/>
    <xf numFmtId="0" fontId="14" fillId="4" borderId="5" xfId="0" applyFont="1" applyFill="1" applyBorder="1" applyAlignment="1">
      <alignment horizontal="right"/>
    </xf>
    <xf numFmtId="0" fontId="12" fillId="5" borderId="8" xfId="0" applyFont="1" applyFill="1" applyBorder="1" applyAlignment="1">
      <alignment horizontal="left"/>
    </xf>
    <xf numFmtId="0" fontId="7" fillId="6" borderId="0" xfId="0" applyFont="1" applyFill="1"/>
    <xf numFmtId="0" fontId="12" fillId="7" borderId="8" xfId="0" applyFont="1" applyFill="1" applyBorder="1" applyAlignment="1">
      <alignment horizontal="left"/>
    </xf>
    <xf numFmtId="0" fontId="11" fillId="0" borderId="0" xfId="0" applyFont="1" applyAlignment="1">
      <alignment horizontal="right"/>
    </xf>
    <xf numFmtId="0" fontId="11" fillId="8" borderId="0" xfId="0" applyFont="1" applyFill="1" applyAlignment="1">
      <alignment horizontal="right"/>
    </xf>
    <xf numFmtId="4" fontId="11" fillId="0" borderId="0" xfId="0" applyNumberFormat="1" applyFont="1" applyAlignment="1">
      <alignment horizontal="right"/>
    </xf>
    <xf numFmtId="4" fontId="11" fillId="8" borderId="0" xfId="0" applyNumberFormat="1" applyFont="1" applyFill="1" applyAlignment="1">
      <alignment horizontal="right"/>
    </xf>
    <xf numFmtId="0" fontId="16" fillId="9" borderId="9" xfId="0" applyFont="1" applyFill="1" applyBorder="1" applyAlignment="1">
      <alignment horizontal="left"/>
    </xf>
    <xf numFmtId="0" fontId="16" fillId="9" borderId="9" xfId="0" applyFont="1" applyFill="1" applyBorder="1" applyAlignment="1">
      <alignment horizontal="right"/>
    </xf>
    <xf numFmtId="0" fontId="16" fillId="9" borderId="9" xfId="0" applyFont="1" applyFill="1" applyBorder="1" applyAlignment="1">
      <alignment horizontal="center"/>
    </xf>
    <xf numFmtId="0" fontId="17" fillId="0" borderId="0" xfId="0" applyFont="1" applyAlignment="1">
      <alignment horizontal="left"/>
    </xf>
    <xf numFmtId="0" fontId="18" fillId="10" borderId="0" xfId="0" applyFont="1" applyFill="1" applyAlignment="1">
      <alignment horizontal="center"/>
    </xf>
    <xf numFmtId="3" fontId="19" fillId="10" borderId="0" xfId="0" applyNumberFormat="1" applyFont="1" applyFill="1" applyAlignment="1">
      <alignment horizontal="right"/>
    </xf>
    <xf numFmtId="0" fontId="20" fillId="10" borderId="0" xfId="0" applyFont="1" applyFill="1" applyAlignment="1">
      <alignment horizontal="center"/>
    </xf>
    <xf numFmtId="0" fontId="21" fillId="11" borderId="0" xfId="0" applyFont="1" applyFill="1" applyAlignment="1">
      <alignment horizontal="center"/>
    </xf>
    <xf numFmtId="3" fontId="22" fillId="11" borderId="0" xfId="0" applyNumberFormat="1" applyFont="1" applyFill="1" applyAlignment="1">
      <alignment horizontal="right"/>
    </xf>
    <xf numFmtId="0" fontId="20" fillId="11" borderId="0" xfId="0" applyFont="1" applyFill="1" applyAlignment="1">
      <alignment horizontal="center"/>
    </xf>
    <xf numFmtId="0" fontId="23" fillId="10" borderId="0" xfId="0" applyFont="1" applyFill="1" applyAlignment="1">
      <alignment horizontal="right"/>
    </xf>
    <xf numFmtId="0" fontId="24" fillId="10" borderId="0" xfId="0" applyFont="1" applyFill="1" applyAlignment="1">
      <alignment horizontal="center"/>
    </xf>
    <xf numFmtId="0" fontId="25" fillId="11" borderId="0" xfId="0" applyFont="1" applyFill="1" applyAlignment="1">
      <alignment horizontal="right"/>
    </xf>
    <xf numFmtId="0" fontId="24" fillId="11" borderId="0" xfId="0" applyFont="1" applyFill="1" applyAlignment="1">
      <alignment horizontal="center"/>
    </xf>
    <xf numFmtId="10" fontId="26" fillId="10" borderId="0" xfId="0" applyNumberFormat="1" applyFont="1" applyFill="1" applyAlignment="1">
      <alignment horizontal="center"/>
    </xf>
    <xf numFmtId="10" fontId="26" fillId="11" borderId="0" xfId="0" applyNumberFormat="1" applyFont="1" applyFill="1" applyAlignment="1">
      <alignment horizontal="center"/>
    </xf>
    <xf numFmtId="0" fontId="27" fillId="10" borderId="0" xfId="0" applyFont="1" applyFill="1" applyAlignment="1">
      <alignment horizontal="left"/>
    </xf>
    <xf numFmtId="0" fontId="27" fillId="11" borderId="0" xfId="0" applyFont="1" applyFill="1" applyAlignment="1">
      <alignment horizontal="left"/>
    </xf>
    <xf numFmtId="0" fontId="22" fillId="11" borderId="0" xfId="0" applyFont="1" applyFill="1" applyAlignment="1">
      <alignment horizontal="right"/>
    </xf>
    <xf numFmtId="0" fontId="19" fillId="10" borderId="0" xfId="0" applyFont="1" applyFill="1" applyAlignment="1">
      <alignment horizontal="right"/>
    </xf>
    <xf numFmtId="3" fontId="29" fillId="13" borderId="0" xfId="0" applyNumberFormat="1" applyFont="1" applyFill="1" applyAlignment="1">
      <alignment horizontal="right"/>
    </xf>
    <xf numFmtId="0" fontId="30" fillId="13" borderId="0" xfId="0" applyFont="1" applyFill="1" applyAlignment="1">
      <alignment horizontal="center"/>
    </xf>
    <xf numFmtId="0" fontId="31" fillId="14" borderId="0" xfId="0" applyFont="1" applyFill="1"/>
    <xf numFmtId="0" fontId="29" fillId="13" borderId="0" xfId="0" applyFont="1" applyFill="1" applyAlignment="1">
      <alignment horizontal="right"/>
    </xf>
    <xf numFmtId="0" fontId="32" fillId="13" borderId="0" xfId="0" applyFont="1" applyFill="1" applyAlignment="1">
      <alignment horizontal="center"/>
    </xf>
    <xf numFmtId="0" fontId="33" fillId="0" borderId="0" xfId="0" applyFont="1"/>
    <xf numFmtId="0" fontId="11" fillId="0" borderId="0" xfId="0" applyFont="1" applyAlignment="1">
      <alignment horizontal="left" vertical="top"/>
    </xf>
    <xf numFmtId="0" fontId="34" fillId="0" borderId="10" xfId="0" applyFont="1" applyBorder="1" applyAlignment="1">
      <alignment vertical="top"/>
    </xf>
    <xf numFmtId="0" fontId="34" fillId="0" borderId="10" xfId="0" applyFont="1" applyBorder="1" applyAlignment="1">
      <alignment horizontal="right" vertical="top"/>
    </xf>
    <xf numFmtId="0" fontId="34" fillId="0" borderId="0" xfId="0" applyFont="1" applyAlignment="1">
      <alignment horizontal="right" vertical="top"/>
    </xf>
    <xf numFmtId="0" fontId="35" fillId="0" borderId="10" xfId="0" applyFont="1" applyBorder="1" applyAlignment="1">
      <alignment vertical="top"/>
    </xf>
    <xf numFmtId="0" fontId="35" fillId="0" borderId="10" xfId="0" applyFont="1" applyBorder="1" applyAlignment="1">
      <alignment horizontal="right" vertical="top"/>
    </xf>
    <xf numFmtId="0" fontId="36" fillId="14" borderId="0" xfId="0" applyFont="1" applyFill="1" applyAlignment="1">
      <alignment horizontal="left"/>
    </xf>
    <xf numFmtId="0" fontId="37" fillId="14" borderId="0" xfId="0" applyFont="1" applyFill="1" applyAlignment="1">
      <alignment horizontal="left"/>
    </xf>
    <xf numFmtId="0" fontId="38" fillId="14" borderId="0" xfId="0" applyFont="1" applyFill="1" applyAlignment="1">
      <alignment horizontal="left"/>
    </xf>
    <xf numFmtId="0" fontId="39" fillId="14" borderId="0" xfId="0" applyFont="1" applyFill="1" applyAlignment="1">
      <alignment horizontal="left"/>
    </xf>
    <xf numFmtId="0" fontId="40" fillId="0" borderId="0" xfId="0" applyFont="1"/>
    <xf numFmtId="0" fontId="41" fillId="0" borderId="0" xfId="0" applyFont="1"/>
    <xf numFmtId="0" fontId="4" fillId="0" borderId="0" xfId="0" applyFont="1"/>
    <xf numFmtId="0" fontId="4" fillId="0" borderId="11" xfId="0" applyFont="1" applyBorder="1" applyAlignment="1">
      <alignment vertical="top"/>
    </xf>
    <xf numFmtId="0" fontId="11" fillId="0" borderId="0" xfId="0" applyFont="1" applyAlignment="1">
      <alignment horizontal="left"/>
    </xf>
    <xf numFmtId="0" fontId="0" fillId="0" borderId="0" xfId="0"/>
    <xf numFmtId="0" fontId="12" fillId="0" borderId="0" xfId="0" applyFont="1" applyAlignment="1">
      <alignment horizontal="left"/>
    </xf>
    <xf numFmtId="164" fontId="11" fillId="0" borderId="0" xfId="0" applyNumberFormat="1" applyFont="1" applyAlignment="1">
      <alignment horizontal="left"/>
    </xf>
    <xf numFmtId="0" fontId="14" fillId="4" borderId="6" xfId="0" applyFont="1" applyFill="1" applyBorder="1" applyAlignment="1">
      <alignment horizontal="left"/>
    </xf>
    <xf numFmtId="0" fontId="15" fillId="0" borderId="7" xfId="0" applyFont="1" applyBorder="1"/>
    <xf numFmtId="0" fontId="7" fillId="0" borderId="0" xfId="0" applyFont="1"/>
    <xf numFmtId="0" fontId="28" fillId="12" borderId="0" xfId="0" applyFont="1" applyFill="1" applyAlignment="1">
      <alignment horizontal="center"/>
    </xf>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tableStyle name="Producción DOP-style" pivot="0" count="4" xr9:uid="{00000000-0011-0000-FFFF-FFFF00000000}">
      <tableStyleElement type="wholeTable" size="0" dxfId="8"/>
      <tableStyleElement type="headerRow" dxfId="11"/>
      <tableStyleElement type="firstRowStripe" dxfId="10"/>
      <tableStyleElement type="secondRowStripe" dxfId="9"/>
    </tableStyle>
    <tableStyle name="DOP España-style" pivot="0" count="4" xr9:uid="{00000000-0011-0000-FFFF-FFFF01000000}">
      <tableStyleElement type="wholeTable" size="0" dxfId="4"/>
      <tableStyleElement type="headerRow" dxfId="7"/>
      <tableStyleElement type="firstRowStripe" dxfId="6"/>
      <tableStyleElement type="secondRowStripe" dxfId="5"/>
    </tableStyle>
    <tableStyle name="Francia-style" pivot="0" count="4" xr9:uid="{00000000-0011-0000-FFFF-FFFF02000000}">
      <tableStyleElement type="wholeTable" size="0" dxfId="0"/>
      <tableStyleElement type="headerRow" dxfId="3"/>
      <tableStyleElement type="firstRowStripe" dxfId="2"/>
      <tableStyleElement type="secondRowStripe" dxfId="1"/>
    </tableStyle>
    <tableStyle name="Invisible" pivot="0" table="0" count="0" xr9:uid="{DF654249-59E2-449D-A24A-10604485060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66675</xdr:colOff>
      <xdr:row>0</xdr:row>
      <xdr:rowOff>66675</xdr:rowOff>
    </xdr:from>
    <xdr:ext cx="5372100" cy="3800475"/>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F223">
  <autoFilter ref="A1:F223" xr:uid="{00000000-0009-0000-0100-000001000000}"/>
  <tableColumns count="6">
    <tableColumn id="1" xr3:uid="{00000000-0010-0000-0000-000001000000}" name="Queso"/>
    <tableColumn id="2" xr3:uid="{00000000-0010-0000-0000-000002000000}" name="Tipo"/>
    <tableColumn id="3" xr3:uid="{00000000-0010-0000-0000-000003000000}" name="Ton"/>
    <tableColumn id="4" xr3:uid="{00000000-0010-0000-0000-000004000000}" name="Año"/>
    <tableColumn id="5" xr3:uid="{00000000-0010-0000-0000-000005000000}" name="País"/>
    <tableColumn id="6" xr3:uid="{00000000-0010-0000-0000-000006000000}" name="Tipo de Leche"/>
  </tableColumns>
  <tableStyleInfo name="Producción DO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3" displayName="Tabla_3" ref="A1:H31">
  <tableColumns count="8">
    <tableColumn id="1" xr3:uid="{00000000-0010-0000-0100-000001000000}" name="Queso"/>
    <tableColumn id="2" xr3:uid="{00000000-0010-0000-0100-000002000000}" name="Tipo"/>
    <tableColumn id="3" xr3:uid="{00000000-0010-0000-0100-000003000000}" name="Ton"/>
    <tableColumn id="4" xr3:uid="{00000000-0010-0000-0100-000004000000}" name="Año"/>
    <tableColumn id="5" xr3:uid="{00000000-0010-0000-0100-000005000000}" name="País"/>
    <tableColumn id="6" xr3:uid="{00000000-0010-0000-0100-000006000000}" name="Region"/>
    <tableColumn id="7" xr3:uid="{00000000-0010-0000-0100-000007000000}" name="queserias"/>
    <tableColumn id="8" xr3:uid="{00000000-0010-0000-0100-000008000000}" name="kg"/>
  </tableColumns>
  <tableStyleInfo name="DOP Españ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_2" displayName="Tabla_2" ref="A1:E46">
  <tableColumns count="5">
    <tableColumn id="1" xr3:uid="{00000000-0010-0000-0200-000001000000}" name="fromage"/>
    <tableColumn id="2" xr3:uid="{00000000-0010-0000-0200-000002000000}" name="type"/>
    <tableColumn id="3" xr3:uid="{00000000-0010-0000-0200-000003000000}" name="lait"/>
    <tableColumn id="4" xr3:uid="{00000000-0010-0000-0200-000004000000}" name="ton"/>
    <tableColumn id="5" xr3:uid="{00000000-0010-0000-0200-000005000000}" name="año"/>
  </tableColumns>
  <tableStyleInfo name="Franc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ec.europa.eu/eurostat/databrowser/view/APRO_MK_POBTA__custom_2750342/default/table?lang=e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csqa.it/it-it/dop-igp-stg" TargetMode="External"/><Relationship Id="rId13" Type="http://schemas.openxmlformats.org/officeDocument/2006/relationships/hyperlink" Target="https://www.clal.it/index.php?section=produzioni_monte" TargetMode="External"/><Relationship Id="rId18" Type="http://schemas.openxmlformats.org/officeDocument/2006/relationships/hyperlink" Target="https://www.inoq.it/images/pdf/MD013_Elenco_prodotti_certificati.pdf" TargetMode="External"/><Relationship Id="rId26" Type="http://schemas.openxmlformats.org/officeDocument/2006/relationships/hyperlink" Target="https://www.clal.it/index.php?section=bitto" TargetMode="External"/><Relationship Id="rId3" Type="http://schemas.openxmlformats.org/officeDocument/2006/relationships/hyperlink" Target="https://www.clal.it/index.php?section=produzioni_gorgonzola" TargetMode="External"/><Relationship Id="rId21" Type="http://schemas.openxmlformats.org/officeDocument/2006/relationships/hyperlink" Target="https://www.csqa.it/it-it/dop-igp-stg" TargetMode="External"/><Relationship Id="rId7" Type="http://schemas.openxmlformats.org/officeDocument/2006/relationships/hyperlink" Target="https://www.clal.it/index.php?section=montasio" TargetMode="External"/><Relationship Id="rId12" Type="http://schemas.openxmlformats.org/officeDocument/2006/relationships/hyperlink" Target="https://www.inoq.it/images/pdf/MD013_Elenco_prodotti_certificati.pdf" TargetMode="External"/><Relationship Id="rId17" Type="http://schemas.openxmlformats.org/officeDocument/2006/relationships/hyperlink" Target="https://www.csqa.it/it-it/dop-igp-stg" TargetMode="External"/><Relationship Id="rId25" Type="http://schemas.openxmlformats.org/officeDocument/2006/relationships/hyperlink" Target="https://www.csqa.it/it-it/dop-igp-stg" TargetMode="External"/><Relationship Id="rId2" Type="http://schemas.openxmlformats.org/officeDocument/2006/relationships/hyperlink" Target="https://www.clal.it/index.php?section=produzioni_parmigiano" TargetMode="External"/><Relationship Id="rId16" Type="http://schemas.openxmlformats.org/officeDocument/2006/relationships/hyperlink" Target="https://www.csqa.it/it-it/dop-igp-stg" TargetMode="External"/><Relationship Id="rId20" Type="http://schemas.openxmlformats.org/officeDocument/2006/relationships/hyperlink" Target="https://www.csqa.it/it-it/dop-igp-stg" TargetMode="External"/><Relationship Id="rId29" Type="http://schemas.openxmlformats.org/officeDocument/2006/relationships/hyperlink" Target="https://www.clal.it/index.php?section=mozzarella_bufala_campana" TargetMode="External"/><Relationship Id="rId1" Type="http://schemas.openxmlformats.org/officeDocument/2006/relationships/hyperlink" Target="https://www.clal.it/index.php?section=produzioni_grana" TargetMode="External"/><Relationship Id="rId6" Type="http://schemas.openxmlformats.org/officeDocument/2006/relationships/hyperlink" Target="https://www.clal.it/index.php?section=produzioni_provolone" TargetMode="External"/><Relationship Id="rId11" Type="http://schemas.openxmlformats.org/officeDocument/2006/relationships/hyperlink" Target="https://www.clal.it/index.php?section=casera" TargetMode="External"/><Relationship Id="rId24" Type="http://schemas.openxmlformats.org/officeDocument/2006/relationships/hyperlink" Target="https://www.inoq.it/images/pdf/MD013_Elenco_prodotti_certificati.pdf" TargetMode="External"/><Relationship Id="rId32" Type="http://schemas.openxmlformats.org/officeDocument/2006/relationships/hyperlink" Target="https://www.clal.it/?section=formaggi_dop" TargetMode="External"/><Relationship Id="rId5" Type="http://schemas.openxmlformats.org/officeDocument/2006/relationships/hyperlink" Target="https://www.clal.it/index.php?section=taleggio" TargetMode="External"/><Relationship Id="rId15" Type="http://schemas.openxmlformats.org/officeDocument/2006/relationships/hyperlink" Target="https://www.inoq.it/images/pdf/MD013_Elenco_prodotti_certificati.pdf" TargetMode="External"/><Relationship Id="rId23" Type="http://schemas.openxmlformats.org/officeDocument/2006/relationships/hyperlink" Target="https://www.csqa.it/it-it/dop-igp-stg" TargetMode="External"/><Relationship Id="rId28" Type="http://schemas.openxmlformats.org/officeDocument/2006/relationships/hyperlink" Target="https://www.inoq.it/images/pdf/MD013_Elenco_prodotti_certificati.pdf" TargetMode="External"/><Relationship Id="rId10" Type="http://schemas.openxmlformats.org/officeDocument/2006/relationships/hyperlink" Target="https://www.clal.it/index.php?section=focus-on-lattebusche-piave" TargetMode="External"/><Relationship Id="rId19" Type="http://schemas.openxmlformats.org/officeDocument/2006/relationships/hyperlink" Target="https://www.clal.it/index.php?section=formai" TargetMode="External"/><Relationship Id="rId31" Type="http://schemas.openxmlformats.org/officeDocument/2006/relationships/hyperlink" Target="https://www.clal.it/index.php?section=formaggella" TargetMode="External"/><Relationship Id="rId4" Type="http://schemas.openxmlformats.org/officeDocument/2006/relationships/hyperlink" Target="https://www.clal.it/index.php?section=produzioni_asiago" TargetMode="External"/><Relationship Id="rId9" Type="http://schemas.openxmlformats.org/officeDocument/2006/relationships/hyperlink" Target="https://www.clal.it/index.php?section=quartirolo_lombardo" TargetMode="External"/><Relationship Id="rId14" Type="http://schemas.openxmlformats.org/officeDocument/2006/relationships/hyperlink" Target="https://www.inoq.it/images/pdf/MD013_Elenco_prodotti_certificati.pdf" TargetMode="External"/><Relationship Id="rId22" Type="http://schemas.openxmlformats.org/officeDocument/2006/relationships/hyperlink" Target="https://www.csqa.it/it-it/dop-igp-stg" TargetMode="External"/><Relationship Id="rId27" Type="http://schemas.openxmlformats.org/officeDocument/2006/relationships/hyperlink" Target="https://www.inoq.it/images/pdf/MD013_Elenco_prodotti_certificati.pdf" TargetMode="External"/><Relationship Id="rId30" Type="http://schemas.openxmlformats.org/officeDocument/2006/relationships/hyperlink" Target="https://www.clal.it/index.php?section=produzioni_pecorino"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openxmlformats.org/officeDocument/2006/relationships/hyperlink" Target="https://danishdairyboard.dk/products/danish-pgi-cheeses/" TargetMode="External"/><Relationship Id="rId1" Type="http://schemas.openxmlformats.org/officeDocument/2006/relationships/hyperlink" Target="https://europa.eu/youreurope/business/running-business/intellectual-property/geographical-indications/index_en.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1"/>
  <sheetViews>
    <sheetView workbookViewId="0">
      <selection activeCell="C12" sqref="C12"/>
    </sheetView>
  </sheetViews>
  <sheetFormatPr baseColWidth="10" defaultColWidth="12.5703125" defaultRowHeight="15.75" customHeight="1"/>
  <cols>
    <col min="1" max="1" width="10.5703125" customWidth="1"/>
    <col min="2" max="2" width="15.7109375" customWidth="1"/>
    <col min="3" max="3" width="13.140625" customWidth="1"/>
    <col min="4" max="4" width="18.42578125" customWidth="1"/>
    <col min="5" max="5" width="16.42578125" customWidth="1"/>
    <col min="6" max="6" width="18.42578125" customWidth="1"/>
    <col min="7" max="7" width="21.42578125" customWidth="1"/>
    <col min="8" max="8" width="26" customWidth="1"/>
  </cols>
  <sheetData>
    <row r="1" spans="1:8">
      <c r="A1" s="1" t="s">
        <v>0</v>
      </c>
      <c r="B1" s="1" t="s">
        <v>1</v>
      </c>
      <c r="C1" s="1" t="s">
        <v>2</v>
      </c>
      <c r="D1" s="1" t="s">
        <v>3</v>
      </c>
      <c r="E1" s="1" t="s">
        <v>4</v>
      </c>
      <c r="F1" s="2" t="s">
        <v>5</v>
      </c>
      <c r="G1" s="1" t="s">
        <v>6</v>
      </c>
      <c r="H1" s="1" t="s">
        <v>7</v>
      </c>
    </row>
    <row r="2" spans="1:8">
      <c r="A2" s="2" t="s">
        <v>8</v>
      </c>
      <c r="B2" s="3">
        <v>68000000</v>
      </c>
      <c r="C2" s="4">
        <v>551695</v>
      </c>
      <c r="D2" s="3">
        <v>1800000</v>
      </c>
      <c r="E2" s="3">
        <f>201176+32606</f>
        <v>233782</v>
      </c>
      <c r="F2" s="2">
        <f>46+11</f>
        <v>57</v>
      </c>
      <c r="G2" s="3">
        <v>750</v>
      </c>
      <c r="H2" s="5">
        <v>484</v>
      </c>
    </row>
    <row r="3" spans="1:8">
      <c r="A3" s="2" t="s">
        <v>9</v>
      </c>
      <c r="B3" s="3">
        <v>8900000</v>
      </c>
      <c r="C3" s="4">
        <v>41285</v>
      </c>
      <c r="D3" s="3">
        <v>197658</v>
      </c>
      <c r="E3" s="3">
        <v>75645</v>
      </c>
      <c r="F3" s="2">
        <v>12</v>
      </c>
      <c r="G3" s="3">
        <v>657</v>
      </c>
      <c r="H3" s="5">
        <v>500</v>
      </c>
    </row>
    <row r="4" spans="1:8">
      <c r="A4" s="2" t="s">
        <v>10</v>
      </c>
      <c r="B4" s="3">
        <v>59000000</v>
      </c>
      <c r="C4" s="4">
        <v>301340</v>
      </c>
      <c r="D4" s="3">
        <v>1100000</v>
      </c>
      <c r="E4" s="3">
        <v>595000</v>
      </c>
      <c r="F4" s="2">
        <v>52</v>
      </c>
      <c r="G4" s="3">
        <v>1800</v>
      </c>
      <c r="H4" s="5">
        <v>800</v>
      </c>
    </row>
    <row r="5" spans="1:8">
      <c r="A5" s="2" t="s">
        <v>11</v>
      </c>
      <c r="B5" s="3">
        <v>17877000</v>
      </c>
      <c r="C5" s="4">
        <v>41543</v>
      </c>
      <c r="D5" s="3">
        <v>946800</v>
      </c>
      <c r="E5" s="3">
        <v>50000</v>
      </c>
      <c r="F5" s="2">
        <v>7</v>
      </c>
      <c r="G5" s="3">
        <v>900</v>
      </c>
      <c r="H5" s="5"/>
    </row>
    <row r="6" spans="1:8">
      <c r="A6" s="2" t="s">
        <v>12</v>
      </c>
      <c r="B6" s="3">
        <v>11700000</v>
      </c>
      <c r="C6" s="4">
        <v>30528</v>
      </c>
      <c r="D6" s="3">
        <v>105000</v>
      </c>
      <c r="E6" s="3">
        <v>500</v>
      </c>
      <c r="F6" s="2">
        <v>1</v>
      </c>
      <c r="G6" s="3">
        <v>400</v>
      </c>
      <c r="H6" s="5"/>
    </row>
    <row r="7" spans="1:8">
      <c r="A7" s="2" t="s">
        <v>13</v>
      </c>
      <c r="B7" s="3">
        <v>5944000</v>
      </c>
      <c r="C7" s="4">
        <v>42933</v>
      </c>
      <c r="D7" s="3">
        <v>467700</v>
      </c>
      <c r="E7" s="3">
        <v>30000</v>
      </c>
      <c r="F7" s="2">
        <v>4</v>
      </c>
      <c r="G7" s="3">
        <v>48</v>
      </c>
      <c r="H7" s="5">
        <v>11</v>
      </c>
    </row>
    <row r="8" spans="1:8">
      <c r="A8" s="2" t="s">
        <v>14</v>
      </c>
      <c r="B8" s="3">
        <v>84524000</v>
      </c>
      <c r="C8" s="4">
        <v>357580</v>
      </c>
      <c r="D8" s="3">
        <v>2656000</v>
      </c>
      <c r="E8" s="3">
        <v>150000</v>
      </c>
      <c r="F8" s="2">
        <v>9</v>
      </c>
      <c r="G8" s="3">
        <v>3000</v>
      </c>
      <c r="H8" s="5"/>
    </row>
    <row r="9" spans="1:8">
      <c r="A9" s="2" t="s">
        <v>15</v>
      </c>
      <c r="B9" s="3">
        <v>1000000</v>
      </c>
      <c r="C9" s="4">
        <v>10604</v>
      </c>
      <c r="D9" s="3">
        <v>25168</v>
      </c>
      <c r="E9" s="2">
        <v>660</v>
      </c>
      <c r="F9" s="2">
        <v>5</v>
      </c>
      <c r="G9" s="3">
        <v>89</v>
      </c>
      <c r="H9" s="5">
        <v>56</v>
      </c>
    </row>
    <row r="10" spans="1:8">
      <c r="A10" s="2" t="s">
        <v>16</v>
      </c>
      <c r="B10" s="3">
        <v>47700000</v>
      </c>
      <c r="C10" s="3">
        <v>505990</v>
      </c>
      <c r="D10" s="3">
        <v>534000</v>
      </c>
      <c r="E10" s="2">
        <v>34045</v>
      </c>
      <c r="F10" s="2">
        <v>30</v>
      </c>
      <c r="G10" s="2">
        <v>1640</v>
      </c>
      <c r="H10" s="5">
        <v>464</v>
      </c>
    </row>
    <row r="11" spans="1:8">
      <c r="A11" s="2" t="s">
        <v>17</v>
      </c>
      <c r="B11" s="3">
        <v>10300000</v>
      </c>
      <c r="C11" s="3">
        <v>131957</v>
      </c>
      <c r="D11" s="3">
        <v>228190</v>
      </c>
      <c r="E11" s="2">
        <v>148692</v>
      </c>
      <c r="F11" s="2">
        <v>22</v>
      </c>
      <c r="G11" s="2">
        <v>800</v>
      </c>
      <c r="H11" s="2">
        <v>370</v>
      </c>
    </row>
    <row r="12" spans="1:8">
      <c r="A12" s="2" t="s">
        <v>18</v>
      </c>
      <c r="B12" s="3">
        <v>37700000</v>
      </c>
      <c r="C12" s="3">
        <v>312685</v>
      </c>
      <c r="D12" s="3">
        <v>893780</v>
      </c>
      <c r="F12" s="2">
        <v>5</v>
      </c>
    </row>
    <row r="13" spans="1:8">
      <c r="A13" s="2" t="s">
        <v>19</v>
      </c>
      <c r="B13" s="3">
        <v>5300000</v>
      </c>
      <c r="C13" s="3">
        <v>70273</v>
      </c>
      <c r="D13" s="3">
        <v>285400</v>
      </c>
      <c r="F13" s="2">
        <v>1</v>
      </c>
    </row>
    <row r="14" spans="1:8">
      <c r="A14" s="2" t="s">
        <v>20</v>
      </c>
      <c r="B14" s="3">
        <v>9100000</v>
      </c>
      <c r="C14" s="3">
        <v>83871</v>
      </c>
      <c r="D14" s="3">
        <v>206400</v>
      </c>
      <c r="F14" s="2">
        <v>6</v>
      </c>
    </row>
    <row r="15" spans="1:8">
      <c r="A15" s="2" t="s">
        <v>21</v>
      </c>
      <c r="B15" s="3">
        <v>10900000</v>
      </c>
      <c r="C15" s="3">
        <v>78867</v>
      </c>
      <c r="D15" s="3">
        <v>151270</v>
      </c>
      <c r="F15" s="2">
        <v>3</v>
      </c>
    </row>
    <row r="16" spans="1:8">
      <c r="A16" s="2" t="s">
        <v>22</v>
      </c>
      <c r="B16" s="3">
        <v>6700000</v>
      </c>
      <c r="C16" s="3">
        <v>110994</v>
      </c>
      <c r="D16" s="3">
        <v>103390</v>
      </c>
      <c r="F16" s="2">
        <v>1</v>
      </c>
    </row>
    <row r="17" spans="1:6">
      <c r="A17" s="2" t="s">
        <v>23</v>
      </c>
      <c r="B17" s="3">
        <v>2800000</v>
      </c>
      <c r="C17" s="3">
        <v>65300</v>
      </c>
      <c r="D17" s="3">
        <v>101610</v>
      </c>
      <c r="F17" s="2">
        <v>3</v>
      </c>
    </row>
    <row r="18" spans="1:6">
      <c r="A18" s="2" t="s">
        <v>24</v>
      </c>
      <c r="B18" s="3">
        <v>5500000</v>
      </c>
      <c r="C18" s="3">
        <v>323802</v>
      </c>
      <c r="D18" s="3">
        <v>99900</v>
      </c>
    </row>
    <row r="19" spans="1:6">
      <c r="A19" s="2" t="s">
        <v>25</v>
      </c>
      <c r="B19" s="3">
        <v>19000000</v>
      </c>
      <c r="C19" s="3">
        <v>238391</v>
      </c>
      <c r="D19" s="3">
        <v>97360</v>
      </c>
      <c r="F19" s="2">
        <v>2</v>
      </c>
    </row>
    <row r="20" spans="1:6">
      <c r="A20" s="2" t="s">
        <v>26</v>
      </c>
      <c r="B20" s="3">
        <v>9600000</v>
      </c>
      <c r="C20" s="3">
        <v>93030</v>
      </c>
      <c r="D20" s="3">
        <v>94080</v>
      </c>
    </row>
    <row r="21" spans="1:6">
      <c r="A21" s="2" t="s">
        <v>27</v>
      </c>
      <c r="B21" s="3">
        <v>10600000</v>
      </c>
      <c r="C21" s="3">
        <v>450295</v>
      </c>
      <c r="D21" s="3">
        <v>83480</v>
      </c>
      <c r="F21" s="2">
        <v>1</v>
      </c>
    </row>
    <row r="22" spans="1:6">
      <c r="A22" s="2" t="s">
        <v>28</v>
      </c>
      <c r="B22" s="3">
        <v>10300000</v>
      </c>
      <c r="C22" s="3">
        <v>92090</v>
      </c>
      <c r="D22" s="3">
        <v>80740</v>
      </c>
      <c r="E22" s="2">
        <v>1843</v>
      </c>
      <c r="F22" s="2">
        <v>14</v>
      </c>
    </row>
    <row r="23" spans="1:6">
      <c r="A23" s="2" t="s">
        <v>29</v>
      </c>
      <c r="B23" s="3">
        <v>6700000</v>
      </c>
      <c r="C23" s="3">
        <v>77474</v>
      </c>
      <c r="D23" s="3">
        <v>53370</v>
      </c>
      <c r="F23" s="2">
        <v>3</v>
      </c>
    </row>
    <row r="24" spans="1:6">
      <c r="A24" s="2" t="s">
        <v>30</v>
      </c>
      <c r="B24" s="3">
        <v>1800000</v>
      </c>
      <c r="C24" s="3">
        <v>64589</v>
      </c>
      <c r="D24" s="3">
        <v>51910</v>
      </c>
      <c r="F24" s="2">
        <v>3</v>
      </c>
    </row>
    <row r="25" spans="1:6">
      <c r="A25" s="2" t="s">
        <v>31</v>
      </c>
      <c r="B25" s="3">
        <v>1300000</v>
      </c>
      <c r="C25" s="3">
        <v>45339</v>
      </c>
      <c r="D25" s="3">
        <v>46180</v>
      </c>
    </row>
    <row r="26" spans="1:6">
      <c r="A26" s="2" t="s">
        <v>32</v>
      </c>
      <c r="B26" s="3">
        <v>5400000</v>
      </c>
      <c r="C26" s="3">
        <v>49035</v>
      </c>
      <c r="D26" s="3">
        <v>43290</v>
      </c>
      <c r="F26" s="2">
        <v>6</v>
      </c>
    </row>
    <row r="27" spans="1:6">
      <c r="A27" s="2" t="s">
        <v>33</v>
      </c>
      <c r="B27" s="3">
        <v>1200000</v>
      </c>
      <c r="C27" s="3">
        <v>9251</v>
      </c>
      <c r="D27" s="3">
        <v>35170</v>
      </c>
    </row>
    <row r="28" spans="1:6">
      <c r="A28" s="2" t="s">
        <v>34</v>
      </c>
      <c r="B28" s="3">
        <v>3900000</v>
      </c>
      <c r="C28" s="3">
        <v>56594</v>
      </c>
      <c r="D28" s="3">
        <v>31780</v>
      </c>
    </row>
    <row r="29" spans="1:6">
      <c r="A29" s="2" t="s">
        <v>35</v>
      </c>
      <c r="B29" s="3">
        <v>2100000</v>
      </c>
      <c r="C29" s="3">
        <v>20273</v>
      </c>
      <c r="D29" s="3">
        <v>15560</v>
      </c>
      <c r="F29" s="2">
        <v>4</v>
      </c>
    </row>
    <row r="30" spans="1:6">
      <c r="A30" s="2" t="s">
        <v>36</v>
      </c>
      <c r="B30" s="3">
        <v>2800000</v>
      </c>
      <c r="C30" s="3">
        <v>28748</v>
      </c>
      <c r="D30" s="3">
        <v>11710</v>
      </c>
    </row>
    <row r="31" spans="1:6">
      <c r="A31" s="2" t="s">
        <v>37</v>
      </c>
      <c r="B31" s="3">
        <v>86500000</v>
      </c>
      <c r="C31" s="3">
        <v>783562</v>
      </c>
      <c r="D31" s="3">
        <v>756600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23"/>
  <sheetViews>
    <sheetView workbookViewId="0">
      <pane ySplit="1" topLeftCell="A2" activePane="bottomLeft" state="frozen"/>
      <selection pane="bottomLeft" activeCell="B3" sqref="B3"/>
    </sheetView>
  </sheetViews>
  <sheetFormatPr baseColWidth="10" defaultColWidth="12.5703125" defaultRowHeight="15.75" customHeight="1"/>
  <cols>
    <col min="1" max="1" width="32.85546875" customWidth="1"/>
    <col min="2" max="2" width="8.140625" customWidth="1"/>
    <col min="3" max="3" width="13" customWidth="1"/>
    <col min="6" max="6" width="19.140625" customWidth="1"/>
  </cols>
  <sheetData>
    <row r="1" spans="1:6" ht="22.5" customHeight="1">
      <c r="A1" s="6" t="s">
        <v>38</v>
      </c>
      <c r="B1" s="7" t="s">
        <v>39</v>
      </c>
      <c r="C1" s="8" t="s">
        <v>40</v>
      </c>
      <c r="D1" s="8" t="s">
        <v>41</v>
      </c>
      <c r="E1" s="8" t="s">
        <v>42</v>
      </c>
      <c r="F1" s="8" t="s">
        <v>43</v>
      </c>
    </row>
    <row r="2" spans="1:6" ht="22.5" customHeight="1">
      <c r="A2" s="9" t="s">
        <v>44</v>
      </c>
      <c r="B2" s="10" t="s">
        <v>45</v>
      </c>
      <c r="C2" s="11">
        <v>3387</v>
      </c>
      <c r="D2" s="12">
        <v>2023</v>
      </c>
      <c r="E2" s="9" t="s">
        <v>8</v>
      </c>
      <c r="F2" s="9" t="s">
        <v>46</v>
      </c>
    </row>
    <row r="3" spans="1:6" ht="22.5" customHeight="1">
      <c r="A3" s="9" t="s">
        <v>47</v>
      </c>
      <c r="B3" s="10" t="s">
        <v>45</v>
      </c>
      <c r="C3" s="11">
        <v>24.859189999999998</v>
      </c>
      <c r="D3" s="12">
        <v>2023</v>
      </c>
      <c r="E3" s="9" t="s">
        <v>16</v>
      </c>
      <c r="F3" s="9" t="s">
        <v>48</v>
      </c>
    </row>
    <row r="4" spans="1:6" ht="22.5" customHeight="1">
      <c r="A4" s="9" t="s">
        <v>49</v>
      </c>
      <c r="B4" s="10" t="s">
        <v>45</v>
      </c>
      <c r="C4" s="11">
        <v>108.69799999999999</v>
      </c>
      <c r="D4" s="12">
        <v>2023</v>
      </c>
      <c r="E4" s="9" t="s">
        <v>16</v>
      </c>
      <c r="F4" s="9" t="s">
        <v>46</v>
      </c>
    </row>
    <row r="5" spans="1:6" ht="22.5" customHeight="1">
      <c r="A5" s="9" t="s">
        <v>50</v>
      </c>
      <c r="B5" s="10" t="s">
        <v>45</v>
      </c>
      <c r="C5" s="11"/>
      <c r="D5" s="10"/>
      <c r="E5" s="10" t="s">
        <v>14</v>
      </c>
      <c r="F5" s="9" t="s">
        <v>46</v>
      </c>
    </row>
    <row r="6" spans="1:6" ht="22.5" customHeight="1">
      <c r="A6" s="9" t="s">
        <v>51</v>
      </c>
      <c r="B6" s="10" t="s">
        <v>45</v>
      </c>
      <c r="C6" s="11"/>
      <c r="D6" s="10"/>
      <c r="E6" s="10" t="s">
        <v>14</v>
      </c>
      <c r="F6" s="9" t="s">
        <v>46</v>
      </c>
    </row>
    <row r="7" spans="1:6" ht="22.5" customHeight="1">
      <c r="A7" s="9" t="s">
        <v>52</v>
      </c>
      <c r="B7" s="10" t="s">
        <v>45</v>
      </c>
      <c r="C7" s="11"/>
      <c r="D7" s="10"/>
      <c r="E7" s="10" t="s">
        <v>14</v>
      </c>
      <c r="F7" s="9" t="s">
        <v>46</v>
      </c>
    </row>
    <row r="8" spans="1:6" ht="22.5" customHeight="1">
      <c r="A8" s="9" t="s">
        <v>53</v>
      </c>
      <c r="B8" s="13" t="s">
        <v>45</v>
      </c>
      <c r="C8" s="11">
        <f>17+1</f>
        <v>18</v>
      </c>
      <c r="D8" s="10">
        <v>2021</v>
      </c>
      <c r="E8" s="10" t="s">
        <v>17</v>
      </c>
      <c r="F8" s="9" t="s">
        <v>54</v>
      </c>
    </row>
    <row r="9" spans="1:6" ht="22.5" customHeight="1">
      <c r="A9" s="9" t="s">
        <v>55</v>
      </c>
      <c r="B9" s="10" t="s">
        <v>45</v>
      </c>
      <c r="C9" s="11">
        <v>7747</v>
      </c>
      <c r="D9" s="12">
        <v>2023</v>
      </c>
      <c r="E9" s="10" t="s">
        <v>9</v>
      </c>
      <c r="F9" s="10" t="s">
        <v>46</v>
      </c>
    </row>
    <row r="10" spans="1:6" ht="22.5" customHeight="1">
      <c r="A10" s="9" t="s">
        <v>56</v>
      </c>
      <c r="B10" s="13" t="s">
        <v>45</v>
      </c>
      <c r="C10" s="11">
        <v>53</v>
      </c>
      <c r="D10" s="10">
        <v>2021</v>
      </c>
      <c r="E10" s="10" t="s">
        <v>17</v>
      </c>
      <c r="F10" s="9" t="s">
        <v>54</v>
      </c>
    </row>
    <row r="11" spans="1:6" ht="22.5" customHeight="1">
      <c r="A11" s="9" t="s">
        <v>57</v>
      </c>
      <c r="B11" s="10" t="s">
        <v>45</v>
      </c>
      <c r="C11" s="11">
        <v>4029.32215</v>
      </c>
      <c r="D11" s="12">
        <v>2023</v>
      </c>
      <c r="E11" s="9" t="s">
        <v>16</v>
      </c>
      <c r="F11" s="9" t="s">
        <v>46</v>
      </c>
    </row>
    <row r="12" spans="1:6" ht="22.5" customHeight="1">
      <c r="A12" s="9" t="s">
        <v>58</v>
      </c>
      <c r="B12" s="10" t="s">
        <v>45</v>
      </c>
      <c r="C12" s="11">
        <v>20433</v>
      </c>
      <c r="D12" s="10">
        <v>2023</v>
      </c>
      <c r="E12" s="10" t="s">
        <v>10</v>
      </c>
      <c r="F12" s="10" t="s">
        <v>46</v>
      </c>
    </row>
    <row r="13" spans="1:6" ht="22.5" customHeight="1">
      <c r="A13" s="9" t="s">
        <v>59</v>
      </c>
      <c r="B13" s="10" t="s">
        <v>45</v>
      </c>
      <c r="C13" s="11">
        <v>85</v>
      </c>
      <c r="D13" s="12">
        <v>2023</v>
      </c>
      <c r="E13" s="9" t="s">
        <v>8</v>
      </c>
      <c r="F13" s="9" t="s">
        <v>48</v>
      </c>
    </row>
    <row r="14" spans="1:6" ht="22.5" customHeight="1">
      <c r="A14" s="9" t="s">
        <v>60</v>
      </c>
      <c r="B14" s="13" t="s">
        <v>45</v>
      </c>
      <c r="C14" s="11">
        <v>21</v>
      </c>
      <c r="D14" s="10">
        <v>2021</v>
      </c>
      <c r="E14" s="10" t="s">
        <v>17</v>
      </c>
      <c r="F14" s="9" t="s">
        <v>54</v>
      </c>
    </row>
    <row r="15" spans="1:6" ht="22.5" customHeight="1">
      <c r="A15" s="9" t="s">
        <v>61</v>
      </c>
      <c r="B15" s="10" t="s">
        <v>45</v>
      </c>
      <c r="C15" s="11">
        <v>1650</v>
      </c>
      <c r="D15" s="10"/>
      <c r="E15" s="10" t="s">
        <v>62</v>
      </c>
      <c r="F15" s="9" t="s">
        <v>46</v>
      </c>
    </row>
    <row r="16" spans="1:6" ht="22.5" customHeight="1">
      <c r="A16" s="9" t="s">
        <v>63</v>
      </c>
      <c r="B16" s="10" t="s">
        <v>45</v>
      </c>
      <c r="C16" s="11">
        <v>5275</v>
      </c>
      <c r="D16" s="12">
        <v>2023</v>
      </c>
      <c r="E16" s="9" t="s">
        <v>8</v>
      </c>
      <c r="F16" s="9" t="s">
        <v>46</v>
      </c>
    </row>
    <row r="17" spans="1:6" ht="22.5" customHeight="1">
      <c r="A17" s="9" t="s">
        <v>64</v>
      </c>
      <c r="B17" s="10" t="s">
        <v>45</v>
      </c>
      <c r="C17" s="11">
        <v>5277</v>
      </c>
      <c r="D17" s="12">
        <v>2023</v>
      </c>
      <c r="E17" s="9" t="s">
        <v>8</v>
      </c>
      <c r="F17" s="9" t="s">
        <v>46</v>
      </c>
    </row>
    <row r="18" spans="1:6" ht="22.5" customHeight="1">
      <c r="A18" s="9" t="s">
        <v>65</v>
      </c>
      <c r="B18" s="10" t="s">
        <v>45</v>
      </c>
      <c r="C18" s="11">
        <v>466</v>
      </c>
      <c r="D18" s="12">
        <v>2023</v>
      </c>
      <c r="E18" s="9" t="s">
        <v>8</v>
      </c>
      <c r="F18" s="9" t="s">
        <v>46</v>
      </c>
    </row>
    <row r="19" spans="1:6" ht="22.5" customHeight="1">
      <c r="A19" s="9" t="s">
        <v>66</v>
      </c>
      <c r="B19" s="10" t="s">
        <v>45</v>
      </c>
      <c r="C19" s="11">
        <v>391</v>
      </c>
      <c r="D19" s="12">
        <v>2023</v>
      </c>
      <c r="E19" s="9" t="s">
        <v>8</v>
      </c>
      <c r="F19" s="9" t="s">
        <v>46</v>
      </c>
    </row>
    <row r="20" spans="1:6" ht="22.5" customHeight="1">
      <c r="A20" s="9" t="s">
        <v>67</v>
      </c>
      <c r="B20" s="10" t="s">
        <v>45</v>
      </c>
      <c r="C20" s="11">
        <v>509</v>
      </c>
      <c r="D20" s="12">
        <v>2023</v>
      </c>
      <c r="E20" s="9" t="s">
        <v>8</v>
      </c>
      <c r="F20" s="9" t="s">
        <v>46</v>
      </c>
    </row>
    <row r="21" spans="1:6" ht="22.5" customHeight="1">
      <c r="A21" s="9" t="s">
        <v>68</v>
      </c>
      <c r="B21" s="10" t="s">
        <v>45</v>
      </c>
      <c r="C21" s="11"/>
      <c r="D21" s="12">
        <v>2024</v>
      </c>
      <c r="E21" s="10" t="s">
        <v>69</v>
      </c>
      <c r="F21" s="9" t="s">
        <v>46</v>
      </c>
    </row>
    <row r="22" spans="1:6" ht="22.5" customHeight="1">
      <c r="A22" s="9" t="s">
        <v>70</v>
      </c>
      <c r="B22" s="10" t="s">
        <v>71</v>
      </c>
      <c r="C22" s="11"/>
      <c r="D22" s="12">
        <v>2024</v>
      </c>
      <c r="E22" s="10" t="s">
        <v>69</v>
      </c>
      <c r="F22" s="9" t="s">
        <v>46</v>
      </c>
    </row>
    <row r="23" spans="1:6" ht="22.5" customHeight="1">
      <c r="A23" s="9" t="s">
        <v>72</v>
      </c>
      <c r="B23" s="10" t="s">
        <v>45</v>
      </c>
      <c r="C23" s="11"/>
      <c r="D23" s="10"/>
      <c r="E23" s="10" t="s">
        <v>62</v>
      </c>
      <c r="F23" s="9" t="s">
        <v>46</v>
      </c>
    </row>
    <row r="24" spans="1:6" ht="22.5" customHeight="1">
      <c r="A24" s="9" t="s">
        <v>73</v>
      </c>
      <c r="B24" s="10" t="s">
        <v>74</v>
      </c>
      <c r="C24" s="11"/>
      <c r="D24" s="10"/>
      <c r="E24" s="10" t="s">
        <v>35</v>
      </c>
      <c r="F24" s="9"/>
    </row>
    <row r="25" spans="1:6" ht="22.5" customHeight="1">
      <c r="A25" s="9" t="s">
        <v>75</v>
      </c>
      <c r="B25" s="10" t="s">
        <v>45</v>
      </c>
      <c r="C25" s="11">
        <v>534</v>
      </c>
      <c r="D25" s="12">
        <v>2024</v>
      </c>
      <c r="E25" s="10" t="s">
        <v>10</v>
      </c>
      <c r="F25" s="10" t="s">
        <v>46</v>
      </c>
    </row>
    <row r="26" spans="1:6" ht="22.5" customHeight="1">
      <c r="A26" s="9" t="s">
        <v>76</v>
      </c>
      <c r="B26" s="10" t="s">
        <v>45</v>
      </c>
      <c r="C26" s="11">
        <v>6626</v>
      </c>
      <c r="D26" s="12">
        <v>2023</v>
      </c>
      <c r="E26" s="9" t="s">
        <v>8</v>
      </c>
      <c r="F26" s="9" t="s">
        <v>46</v>
      </c>
    </row>
    <row r="27" spans="1:6" ht="22.5" customHeight="1">
      <c r="A27" s="9" t="s">
        <v>77</v>
      </c>
      <c r="B27" s="10" t="s">
        <v>45</v>
      </c>
      <c r="C27" s="11">
        <v>189</v>
      </c>
      <c r="D27" s="12">
        <v>2023</v>
      </c>
      <c r="E27" s="9" t="s">
        <v>8</v>
      </c>
      <c r="F27" s="9" t="s">
        <v>46</v>
      </c>
    </row>
    <row r="28" spans="1:6" ht="22.5" customHeight="1">
      <c r="A28" s="9" t="s">
        <v>78</v>
      </c>
      <c r="B28" s="10" t="s">
        <v>79</v>
      </c>
      <c r="C28" s="11">
        <v>1874</v>
      </c>
      <c r="D28" s="12">
        <v>2023</v>
      </c>
      <c r="E28" s="9" t="s">
        <v>8</v>
      </c>
      <c r="F28" s="9" t="s">
        <v>46</v>
      </c>
    </row>
    <row r="29" spans="1:6" ht="22.5" customHeight="1">
      <c r="A29" s="9" t="s">
        <v>80</v>
      </c>
      <c r="B29" s="10" t="s">
        <v>45</v>
      </c>
      <c r="C29" s="11">
        <v>407</v>
      </c>
      <c r="D29" s="12">
        <v>2023</v>
      </c>
      <c r="E29" s="9" t="s">
        <v>8</v>
      </c>
      <c r="F29" s="9" t="s">
        <v>81</v>
      </c>
    </row>
    <row r="30" spans="1:6" ht="22.5" customHeight="1">
      <c r="A30" s="9" t="s">
        <v>82</v>
      </c>
      <c r="B30" s="10" t="s">
        <v>45</v>
      </c>
      <c r="C30" s="11">
        <v>16</v>
      </c>
      <c r="D30" s="12">
        <v>2023</v>
      </c>
      <c r="E30" s="9" t="s">
        <v>8</v>
      </c>
      <c r="F30" s="9" t="s">
        <v>48</v>
      </c>
    </row>
    <row r="31" spans="1:6" ht="22.5" customHeight="1">
      <c r="A31" s="9" t="s">
        <v>83</v>
      </c>
      <c r="B31" s="10" t="s">
        <v>45</v>
      </c>
      <c r="C31" s="11"/>
      <c r="D31" s="10"/>
      <c r="E31" s="10" t="s">
        <v>18</v>
      </c>
      <c r="F31" s="9" t="s">
        <v>81</v>
      </c>
    </row>
    <row r="32" spans="1:6" ht="22.5" customHeight="1">
      <c r="A32" s="9" t="s">
        <v>84</v>
      </c>
      <c r="B32" s="10" t="s">
        <v>45</v>
      </c>
      <c r="C32" s="11"/>
      <c r="D32" s="10"/>
      <c r="E32" s="10" t="s">
        <v>22</v>
      </c>
      <c r="F32" s="9" t="s">
        <v>85</v>
      </c>
    </row>
    <row r="33" spans="1:6" ht="22.5" customHeight="1">
      <c r="A33" s="9" t="s">
        <v>86</v>
      </c>
      <c r="B33" s="10" t="s">
        <v>45</v>
      </c>
      <c r="C33" s="11"/>
      <c r="D33" s="10"/>
      <c r="E33" s="10" t="s">
        <v>62</v>
      </c>
      <c r="F33" s="9" t="s">
        <v>46</v>
      </c>
    </row>
    <row r="34" spans="1:6" ht="22.5" customHeight="1">
      <c r="A34" s="9" t="s">
        <v>87</v>
      </c>
      <c r="B34" s="10" t="s">
        <v>45</v>
      </c>
      <c r="C34" s="11">
        <v>361.72199999999998</v>
      </c>
      <c r="D34" s="12">
        <v>2023</v>
      </c>
      <c r="E34" s="9" t="s">
        <v>16</v>
      </c>
      <c r="F34" s="9" t="s">
        <v>88</v>
      </c>
    </row>
    <row r="35" spans="1:6" ht="22.5" customHeight="1">
      <c r="A35" s="9" t="s">
        <v>89</v>
      </c>
      <c r="B35" s="10" t="s">
        <v>45</v>
      </c>
      <c r="C35" s="11">
        <v>1178</v>
      </c>
      <c r="D35" s="12">
        <v>2024</v>
      </c>
      <c r="E35" s="10" t="s">
        <v>10</v>
      </c>
      <c r="F35" s="10" t="s">
        <v>46</v>
      </c>
    </row>
    <row r="36" spans="1:6" ht="22.5" customHeight="1">
      <c r="A36" s="9" t="s">
        <v>90</v>
      </c>
      <c r="B36" s="10" t="s">
        <v>45</v>
      </c>
      <c r="C36" s="11">
        <v>5410</v>
      </c>
      <c r="D36" s="12">
        <v>2023</v>
      </c>
      <c r="E36" s="9" t="s">
        <v>8</v>
      </c>
      <c r="F36" s="9" t="s">
        <v>46</v>
      </c>
    </row>
    <row r="37" spans="1:6" ht="22.5" customHeight="1">
      <c r="A37" s="9" t="s">
        <v>91</v>
      </c>
      <c r="B37" s="10" t="s">
        <v>45</v>
      </c>
      <c r="C37" s="11">
        <v>40.08475</v>
      </c>
      <c r="D37" s="12">
        <v>2023</v>
      </c>
      <c r="E37" s="9" t="s">
        <v>16</v>
      </c>
      <c r="F37" s="9" t="s">
        <v>48</v>
      </c>
    </row>
    <row r="38" spans="1:6" ht="22.5" customHeight="1">
      <c r="A38" s="9" t="s">
        <v>92</v>
      </c>
      <c r="B38" s="10" t="s">
        <v>79</v>
      </c>
      <c r="C38" s="11">
        <v>5874</v>
      </c>
      <c r="D38" s="12">
        <v>2023</v>
      </c>
      <c r="E38" s="9" t="s">
        <v>8</v>
      </c>
      <c r="F38" s="9" t="s">
        <v>46</v>
      </c>
    </row>
    <row r="39" spans="1:6" ht="22.5" customHeight="1">
      <c r="A39" s="9" t="s">
        <v>93</v>
      </c>
      <c r="B39" s="10" t="s">
        <v>45</v>
      </c>
      <c r="C39" s="11">
        <v>10828</v>
      </c>
      <c r="D39" s="12">
        <v>2023</v>
      </c>
      <c r="E39" s="9" t="s">
        <v>8</v>
      </c>
      <c r="F39" s="9" t="s">
        <v>46</v>
      </c>
    </row>
    <row r="40" spans="1:6" ht="22.5" customHeight="1">
      <c r="A40" s="9" t="s">
        <v>94</v>
      </c>
      <c r="B40" s="10" t="s">
        <v>45</v>
      </c>
      <c r="C40" s="11">
        <v>457</v>
      </c>
      <c r="D40" s="12">
        <v>2023</v>
      </c>
      <c r="E40" s="10" t="s">
        <v>10</v>
      </c>
      <c r="F40" s="10" t="s">
        <v>46</v>
      </c>
    </row>
    <row r="41" spans="1:6" ht="22.5" customHeight="1">
      <c r="A41" s="9" t="s">
        <v>95</v>
      </c>
      <c r="B41" s="10" t="s">
        <v>45</v>
      </c>
      <c r="C41" s="11">
        <v>9.6679999999999993</v>
      </c>
      <c r="D41" s="12">
        <v>2023</v>
      </c>
      <c r="E41" s="9" t="s">
        <v>16</v>
      </c>
      <c r="F41" s="9" t="s">
        <v>46</v>
      </c>
    </row>
    <row r="42" spans="1:6" ht="22.5" customHeight="1">
      <c r="A42" s="9" t="s">
        <v>96</v>
      </c>
      <c r="B42" s="10" t="s">
        <v>79</v>
      </c>
      <c r="C42" s="11">
        <v>1493.05</v>
      </c>
      <c r="D42" s="12">
        <v>2023</v>
      </c>
      <c r="E42" s="9" t="s">
        <v>16</v>
      </c>
      <c r="F42" s="9" t="s">
        <v>81</v>
      </c>
    </row>
    <row r="43" spans="1:6" ht="22.5" customHeight="1">
      <c r="A43" s="9" t="s">
        <v>97</v>
      </c>
      <c r="B43" s="10" t="s">
        <v>45</v>
      </c>
      <c r="C43" s="11">
        <v>58.102599999999995</v>
      </c>
      <c r="D43" s="12">
        <v>2023</v>
      </c>
      <c r="E43" s="9" t="s">
        <v>16</v>
      </c>
      <c r="F43" s="9" t="s">
        <v>46</v>
      </c>
    </row>
    <row r="44" spans="1:6" ht="22.5" customHeight="1">
      <c r="A44" s="9" t="s">
        <v>98</v>
      </c>
      <c r="B44" s="10" t="s">
        <v>45</v>
      </c>
      <c r="C44" s="11">
        <v>262</v>
      </c>
      <c r="D44" s="12">
        <v>2023</v>
      </c>
      <c r="E44" s="9" t="s">
        <v>8</v>
      </c>
      <c r="F44" s="9" t="s">
        <v>48</v>
      </c>
    </row>
    <row r="45" spans="1:6" ht="22.5" customHeight="1">
      <c r="A45" s="9" t="s">
        <v>99</v>
      </c>
      <c r="B45" s="10" t="s">
        <v>45</v>
      </c>
      <c r="C45" s="11">
        <v>2436</v>
      </c>
      <c r="D45" s="12">
        <v>2023</v>
      </c>
      <c r="E45" s="9" t="s">
        <v>8</v>
      </c>
      <c r="F45" s="9" t="s">
        <v>46</v>
      </c>
    </row>
    <row r="46" spans="1:6" ht="22.5" customHeight="1">
      <c r="A46" s="9" t="s">
        <v>100</v>
      </c>
      <c r="B46" s="10" t="s">
        <v>45</v>
      </c>
      <c r="C46" s="11">
        <v>107</v>
      </c>
      <c r="D46" s="12">
        <v>2023</v>
      </c>
      <c r="E46" s="9" t="s">
        <v>8</v>
      </c>
      <c r="F46" s="9" t="s">
        <v>48</v>
      </c>
    </row>
    <row r="47" spans="1:6" ht="22.5" customHeight="1">
      <c r="A47" s="9" t="s">
        <v>101</v>
      </c>
      <c r="B47" s="10" t="s">
        <v>45</v>
      </c>
      <c r="C47" s="11">
        <v>723</v>
      </c>
      <c r="D47" s="12">
        <v>2023</v>
      </c>
      <c r="E47" s="9" t="s">
        <v>8</v>
      </c>
      <c r="F47" s="9" t="s">
        <v>48</v>
      </c>
    </row>
    <row r="48" spans="1:6" ht="22.5" customHeight="1">
      <c r="A48" s="9" t="s">
        <v>102</v>
      </c>
      <c r="B48" s="10" t="s">
        <v>45</v>
      </c>
      <c r="C48" s="11">
        <v>55</v>
      </c>
      <c r="D48" s="12">
        <v>2023</v>
      </c>
      <c r="E48" s="9" t="s">
        <v>8</v>
      </c>
      <c r="F48" s="9" t="s">
        <v>48</v>
      </c>
    </row>
    <row r="49" spans="1:6" ht="22.5" customHeight="1">
      <c r="A49" s="9" t="s">
        <v>103</v>
      </c>
      <c r="B49" s="10" t="s">
        <v>45</v>
      </c>
      <c r="C49" s="11">
        <v>62700</v>
      </c>
      <c r="D49" s="12">
        <v>2023</v>
      </c>
      <c r="E49" s="9" t="s">
        <v>8</v>
      </c>
      <c r="F49" s="9" t="s">
        <v>46</v>
      </c>
    </row>
    <row r="50" spans="1:6" ht="22.5" customHeight="1">
      <c r="A50" s="9" t="s">
        <v>104</v>
      </c>
      <c r="B50" s="10" t="s">
        <v>79</v>
      </c>
      <c r="C50" s="11"/>
      <c r="D50" s="10"/>
      <c r="E50" s="10" t="s">
        <v>13</v>
      </c>
      <c r="F50" s="9" t="s">
        <v>46</v>
      </c>
    </row>
    <row r="51" spans="1:6" ht="22.5" customHeight="1">
      <c r="A51" s="9" t="s">
        <v>105</v>
      </c>
      <c r="B51" s="10" t="s">
        <v>79</v>
      </c>
      <c r="C51" s="11"/>
      <c r="D51" s="10"/>
      <c r="E51" s="10" t="s">
        <v>13</v>
      </c>
      <c r="F51" s="9" t="s">
        <v>46</v>
      </c>
    </row>
    <row r="52" spans="1:6" ht="22.5" customHeight="1">
      <c r="A52" s="9" t="s">
        <v>106</v>
      </c>
      <c r="B52" s="10" t="s">
        <v>79</v>
      </c>
      <c r="C52" s="11"/>
      <c r="D52" s="10"/>
      <c r="E52" s="10" t="s">
        <v>62</v>
      </c>
      <c r="F52" s="9" t="s">
        <v>46</v>
      </c>
    </row>
    <row r="53" spans="1:6" ht="22.5" customHeight="1">
      <c r="A53" s="9" t="s">
        <v>107</v>
      </c>
      <c r="B53" s="10" t="s">
        <v>45</v>
      </c>
      <c r="C53" s="11"/>
      <c r="D53" s="10"/>
      <c r="E53" s="10" t="s">
        <v>62</v>
      </c>
      <c r="F53" s="9" t="s">
        <v>46</v>
      </c>
    </row>
    <row r="54" spans="1:6" ht="22.5" customHeight="1">
      <c r="A54" s="9" t="s">
        <v>108</v>
      </c>
      <c r="B54" s="10" t="s">
        <v>79</v>
      </c>
      <c r="C54" s="11"/>
      <c r="D54" s="10"/>
      <c r="E54" s="10" t="s">
        <v>23</v>
      </c>
      <c r="F54" s="9" t="s">
        <v>46</v>
      </c>
    </row>
    <row r="55" spans="1:6" ht="22.5" customHeight="1">
      <c r="A55" s="9" t="s">
        <v>109</v>
      </c>
      <c r="B55" s="10" t="s">
        <v>79</v>
      </c>
      <c r="C55" s="11">
        <v>3000</v>
      </c>
      <c r="D55" s="12">
        <v>2024</v>
      </c>
      <c r="E55" s="10" t="s">
        <v>69</v>
      </c>
      <c r="F55" s="10" t="s">
        <v>46</v>
      </c>
    </row>
    <row r="56" spans="1:6" ht="22.5" customHeight="1">
      <c r="A56" s="9" t="s">
        <v>110</v>
      </c>
      <c r="B56" s="10" t="s">
        <v>79</v>
      </c>
      <c r="C56" s="11">
        <v>2461</v>
      </c>
      <c r="D56" s="12">
        <v>2023</v>
      </c>
      <c r="E56" s="9" t="s">
        <v>8</v>
      </c>
      <c r="F56" s="9" t="s">
        <v>46</v>
      </c>
    </row>
    <row r="57" spans="1:6" ht="22.5" customHeight="1">
      <c r="A57" s="9" t="s">
        <v>111</v>
      </c>
      <c r="B57" s="10" t="s">
        <v>79</v>
      </c>
      <c r="C57" s="11">
        <v>2657</v>
      </c>
      <c r="D57" s="12">
        <v>2023</v>
      </c>
      <c r="E57" s="9" t="s">
        <v>8</v>
      </c>
      <c r="F57" s="9" t="s">
        <v>46</v>
      </c>
    </row>
    <row r="58" spans="1:6" ht="22.5" customHeight="1">
      <c r="A58" s="9" t="s">
        <v>112</v>
      </c>
      <c r="B58" s="10" t="s">
        <v>45</v>
      </c>
      <c r="C58" s="11">
        <v>13390</v>
      </c>
      <c r="D58" s="12">
        <v>2023</v>
      </c>
      <c r="E58" s="10" t="s">
        <v>9</v>
      </c>
      <c r="F58" s="10" t="s">
        <v>46</v>
      </c>
    </row>
    <row r="59" spans="1:6" ht="22.5" customHeight="1">
      <c r="A59" s="9" t="s">
        <v>113</v>
      </c>
      <c r="B59" s="10" t="s">
        <v>45</v>
      </c>
      <c r="C59" s="11">
        <v>1468</v>
      </c>
      <c r="D59" s="12">
        <v>2023</v>
      </c>
      <c r="E59" s="9" t="s">
        <v>8</v>
      </c>
      <c r="F59" s="9" t="s">
        <v>46</v>
      </c>
    </row>
    <row r="60" spans="1:6" ht="22.5" customHeight="1">
      <c r="A60" s="9" t="s">
        <v>114</v>
      </c>
      <c r="B60" s="10" t="s">
        <v>79</v>
      </c>
      <c r="C60" s="11"/>
      <c r="D60" s="10"/>
      <c r="E60" s="10" t="s">
        <v>13</v>
      </c>
      <c r="F60" s="9" t="s">
        <v>46</v>
      </c>
    </row>
    <row r="61" spans="1:6" ht="22.5" customHeight="1">
      <c r="A61" s="9" t="s">
        <v>115</v>
      </c>
      <c r="B61" s="10" t="s">
        <v>45</v>
      </c>
      <c r="C61" s="11">
        <v>450</v>
      </c>
      <c r="D61" s="12">
        <v>2023</v>
      </c>
      <c r="E61" s="10" t="s">
        <v>9</v>
      </c>
      <c r="F61" s="10" t="s">
        <v>46</v>
      </c>
    </row>
    <row r="62" spans="1:6" ht="22.5" customHeight="1">
      <c r="A62" s="9" t="s">
        <v>116</v>
      </c>
      <c r="B62" s="10" t="s">
        <v>79</v>
      </c>
      <c r="C62" s="11"/>
      <c r="D62" s="10"/>
      <c r="E62" s="10" t="s">
        <v>62</v>
      </c>
      <c r="F62" s="9"/>
    </row>
    <row r="63" spans="1:6" ht="22.5" customHeight="1">
      <c r="A63" s="9" t="s">
        <v>117</v>
      </c>
      <c r="B63" s="13" t="s">
        <v>45</v>
      </c>
      <c r="C63" s="11">
        <f>120147+13878</f>
        <v>134025</v>
      </c>
      <c r="D63" s="10">
        <v>2021</v>
      </c>
      <c r="E63" s="10" t="s">
        <v>17</v>
      </c>
      <c r="F63" s="9" t="s">
        <v>54</v>
      </c>
    </row>
    <row r="64" spans="1:6" ht="22.5" customHeight="1">
      <c r="A64" s="9" t="s">
        <v>118</v>
      </c>
      <c r="B64" s="10" t="s">
        <v>45</v>
      </c>
      <c r="C64" s="11">
        <v>17.099</v>
      </c>
      <c r="D64" s="12">
        <v>2023</v>
      </c>
      <c r="E64" s="9" t="s">
        <v>16</v>
      </c>
      <c r="F64" s="9" t="s">
        <v>119</v>
      </c>
    </row>
    <row r="65" spans="1:6" ht="22.5" customHeight="1">
      <c r="A65" s="9" t="s">
        <v>120</v>
      </c>
      <c r="B65" s="10" t="s">
        <v>45</v>
      </c>
      <c r="C65" s="11">
        <v>3132</v>
      </c>
      <c r="D65" s="12">
        <v>2023</v>
      </c>
      <c r="E65" s="10" t="s">
        <v>10</v>
      </c>
      <c r="F65" s="10" t="s">
        <v>46</v>
      </c>
    </row>
    <row r="66" spans="1:6" ht="22.5" customHeight="1">
      <c r="A66" s="9" t="s">
        <v>121</v>
      </c>
      <c r="B66" s="13" t="s">
        <v>45</v>
      </c>
      <c r="C66" s="11">
        <v>4</v>
      </c>
      <c r="D66" s="10">
        <v>2021</v>
      </c>
      <c r="E66" s="10" t="s">
        <v>17</v>
      </c>
      <c r="F66" s="9" t="s">
        <v>54</v>
      </c>
    </row>
    <row r="67" spans="1:6" ht="22.5" customHeight="1">
      <c r="A67" s="9" t="s">
        <v>122</v>
      </c>
      <c r="B67" s="10" t="s">
        <v>45</v>
      </c>
      <c r="C67" s="11">
        <v>5568</v>
      </c>
      <c r="D67" s="12">
        <v>2023</v>
      </c>
      <c r="E67" s="9" t="s">
        <v>8</v>
      </c>
      <c r="F67" s="9" t="s">
        <v>46</v>
      </c>
    </row>
    <row r="68" spans="1:6" ht="22.5" customHeight="1">
      <c r="A68" s="9" t="s">
        <v>123</v>
      </c>
      <c r="B68" s="10" t="s">
        <v>45</v>
      </c>
      <c r="C68" s="11">
        <v>639</v>
      </c>
      <c r="D68" s="12">
        <v>2023</v>
      </c>
      <c r="E68" s="9" t="s">
        <v>8</v>
      </c>
      <c r="F68" s="9" t="s">
        <v>46</v>
      </c>
    </row>
    <row r="69" spans="1:6" ht="22.5" customHeight="1">
      <c r="A69" s="9" t="s">
        <v>124</v>
      </c>
      <c r="B69" s="13" t="s">
        <v>45</v>
      </c>
      <c r="C69" s="11">
        <v>326</v>
      </c>
      <c r="D69" s="10">
        <v>2021</v>
      </c>
      <c r="E69" s="10" t="s">
        <v>17</v>
      </c>
      <c r="F69" s="9" t="s">
        <v>54</v>
      </c>
    </row>
    <row r="70" spans="1:6" ht="22.5" customHeight="1">
      <c r="A70" s="9" t="s">
        <v>125</v>
      </c>
      <c r="B70" s="10" t="s">
        <v>45</v>
      </c>
      <c r="C70" s="11">
        <v>177.32599999999999</v>
      </c>
      <c r="D70" s="12">
        <v>2023</v>
      </c>
      <c r="E70" s="9" t="s">
        <v>16</v>
      </c>
      <c r="F70" s="9" t="s">
        <v>88</v>
      </c>
    </row>
    <row r="71" spans="1:6" ht="22.5" customHeight="1">
      <c r="A71" s="9" t="s">
        <v>126</v>
      </c>
      <c r="B71" s="10" t="s">
        <v>45</v>
      </c>
      <c r="C71" s="11"/>
      <c r="D71" s="10"/>
      <c r="E71" s="10" t="s">
        <v>62</v>
      </c>
      <c r="F71" s="9" t="s">
        <v>46</v>
      </c>
    </row>
    <row r="72" spans="1:6" ht="22.5" customHeight="1">
      <c r="A72" s="9" t="s">
        <v>127</v>
      </c>
      <c r="B72" s="10" t="s">
        <v>45</v>
      </c>
      <c r="C72" s="11">
        <v>62147</v>
      </c>
      <c r="D72" s="10">
        <v>2023</v>
      </c>
      <c r="E72" s="10" t="s">
        <v>10</v>
      </c>
      <c r="F72" s="10" t="s">
        <v>46</v>
      </c>
    </row>
    <row r="73" spans="1:6" ht="22.5" customHeight="1">
      <c r="A73" s="9" t="s">
        <v>128</v>
      </c>
      <c r="B73" s="10" t="s">
        <v>79</v>
      </c>
      <c r="C73" s="11">
        <v>300000</v>
      </c>
      <c r="D73" s="12">
        <v>2024</v>
      </c>
      <c r="E73" s="10" t="s">
        <v>69</v>
      </c>
      <c r="F73" s="9" t="s">
        <v>46</v>
      </c>
    </row>
    <row r="74" spans="1:6" ht="22.5" customHeight="1">
      <c r="A74" s="9" t="s">
        <v>129</v>
      </c>
      <c r="B74" s="10" t="s">
        <v>45</v>
      </c>
      <c r="C74" s="11">
        <v>219259</v>
      </c>
      <c r="D74" s="10">
        <v>2024</v>
      </c>
      <c r="E74" s="10" t="s">
        <v>10</v>
      </c>
      <c r="F74" s="10" t="s">
        <v>46</v>
      </c>
    </row>
    <row r="75" spans="1:6" ht="22.5" customHeight="1">
      <c r="A75" s="9" t="s">
        <v>130</v>
      </c>
      <c r="B75" s="13" t="s">
        <v>45</v>
      </c>
      <c r="C75" s="11">
        <v>1</v>
      </c>
      <c r="D75" s="10">
        <v>2021</v>
      </c>
      <c r="E75" s="10" t="s">
        <v>17</v>
      </c>
      <c r="F75" s="9" t="s">
        <v>81</v>
      </c>
    </row>
    <row r="76" spans="1:6" ht="22.5" customHeight="1">
      <c r="A76" s="9" t="s">
        <v>131</v>
      </c>
      <c r="B76" s="13" t="s">
        <v>45</v>
      </c>
      <c r="C76" s="11">
        <v>3602</v>
      </c>
      <c r="D76" s="10">
        <v>2021</v>
      </c>
      <c r="E76" s="10" t="s">
        <v>17</v>
      </c>
      <c r="F76" s="9" t="s">
        <v>81</v>
      </c>
    </row>
    <row r="77" spans="1:6" ht="22.5" customHeight="1">
      <c r="A77" s="9" t="s">
        <v>132</v>
      </c>
      <c r="B77" s="13" t="s">
        <v>45</v>
      </c>
      <c r="C77" s="11">
        <v>1203</v>
      </c>
      <c r="D77" s="10">
        <v>2021</v>
      </c>
      <c r="E77" s="10" t="s">
        <v>17</v>
      </c>
      <c r="F77" s="9" t="s">
        <v>46</v>
      </c>
    </row>
    <row r="78" spans="1:6" ht="22.5" customHeight="1">
      <c r="A78" s="9" t="s">
        <v>133</v>
      </c>
      <c r="B78" s="10" t="s">
        <v>79</v>
      </c>
      <c r="C78" s="11">
        <v>2816</v>
      </c>
      <c r="D78" s="12">
        <v>2023</v>
      </c>
      <c r="E78" s="9" t="s">
        <v>8</v>
      </c>
      <c r="F78" s="9" t="s">
        <v>46</v>
      </c>
    </row>
    <row r="79" spans="1:6" ht="22.5" customHeight="1">
      <c r="A79" s="9" t="s">
        <v>134</v>
      </c>
      <c r="B79" s="10" t="s">
        <v>79</v>
      </c>
      <c r="C79" s="11"/>
      <c r="D79" s="10"/>
      <c r="E79" s="10" t="s">
        <v>13</v>
      </c>
      <c r="F79" s="9" t="s">
        <v>46</v>
      </c>
    </row>
    <row r="80" spans="1:6" ht="22.5" customHeight="1">
      <c r="A80" s="9" t="s">
        <v>135</v>
      </c>
      <c r="B80" s="10" t="s">
        <v>45</v>
      </c>
      <c r="C80" s="11">
        <v>300</v>
      </c>
      <c r="D80" s="12">
        <v>2023</v>
      </c>
      <c r="E80" s="10" t="s">
        <v>12</v>
      </c>
      <c r="F80" s="10" t="s">
        <v>46</v>
      </c>
    </row>
    <row r="81" spans="1:6" ht="22.5" customHeight="1">
      <c r="A81" s="9" t="s">
        <v>136</v>
      </c>
      <c r="B81" s="10" t="s">
        <v>79</v>
      </c>
      <c r="C81" s="11"/>
      <c r="D81" s="10"/>
      <c r="E81" s="10" t="s">
        <v>14</v>
      </c>
      <c r="F81" s="9" t="s">
        <v>46</v>
      </c>
    </row>
    <row r="82" spans="1:6" ht="22.5" customHeight="1">
      <c r="A82" s="9" t="s">
        <v>137</v>
      </c>
      <c r="B82" s="10" t="s">
        <v>79</v>
      </c>
      <c r="C82" s="11"/>
      <c r="D82" s="10"/>
      <c r="E82" s="10" t="s">
        <v>14</v>
      </c>
      <c r="F82" s="9" t="s">
        <v>46</v>
      </c>
    </row>
    <row r="83" spans="1:6" ht="22.5" customHeight="1">
      <c r="A83" s="9" t="s">
        <v>138</v>
      </c>
      <c r="B83" s="10" t="s">
        <v>79</v>
      </c>
      <c r="C83" s="11"/>
      <c r="D83" s="10"/>
      <c r="E83" s="10" t="s">
        <v>29</v>
      </c>
      <c r="F83" s="9" t="s">
        <v>85</v>
      </c>
    </row>
    <row r="84" spans="1:6" ht="22.5" customHeight="1">
      <c r="A84" s="9" t="s">
        <v>139</v>
      </c>
      <c r="B84" s="10" t="s">
        <v>45</v>
      </c>
      <c r="C84" s="11">
        <v>72.875</v>
      </c>
      <c r="D84" s="12">
        <v>2023</v>
      </c>
      <c r="E84" s="9" t="s">
        <v>16</v>
      </c>
      <c r="F84" s="9" t="s">
        <v>48</v>
      </c>
    </row>
    <row r="85" spans="1:6" ht="22.5" customHeight="1">
      <c r="A85" s="9" t="s">
        <v>140</v>
      </c>
      <c r="B85" s="10" t="s">
        <v>45</v>
      </c>
      <c r="C85" s="11">
        <v>1342.7159999999999</v>
      </c>
      <c r="D85" s="12">
        <v>2023</v>
      </c>
      <c r="E85" s="9" t="s">
        <v>16</v>
      </c>
      <c r="F85" s="9" t="s">
        <v>81</v>
      </c>
    </row>
    <row r="86" spans="1:6" ht="22.5" customHeight="1">
      <c r="A86" s="9" t="s">
        <v>141</v>
      </c>
      <c r="B86" s="10"/>
      <c r="C86" s="11"/>
      <c r="D86" s="10"/>
      <c r="E86" s="10" t="s">
        <v>19</v>
      </c>
      <c r="F86" s="9" t="s">
        <v>46</v>
      </c>
    </row>
    <row r="87" spans="1:6" ht="22.5" customHeight="1">
      <c r="A87" s="9" t="s">
        <v>142</v>
      </c>
      <c r="B87" s="10" t="s">
        <v>79</v>
      </c>
      <c r="C87" s="11"/>
      <c r="D87" s="10"/>
      <c r="E87" s="10" t="s">
        <v>143</v>
      </c>
      <c r="F87" s="9"/>
    </row>
    <row r="88" spans="1:6" ht="22.5" customHeight="1">
      <c r="A88" s="9" t="s">
        <v>144</v>
      </c>
      <c r="B88" s="10" t="s">
        <v>79</v>
      </c>
      <c r="C88" s="11"/>
      <c r="D88" s="10"/>
      <c r="E88" s="10" t="s">
        <v>143</v>
      </c>
      <c r="F88" s="9"/>
    </row>
    <row r="89" spans="1:6" ht="22.5" customHeight="1">
      <c r="A89" s="9" t="s">
        <v>145</v>
      </c>
      <c r="B89" s="13" t="s">
        <v>45</v>
      </c>
      <c r="C89" s="11">
        <v>413</v>
      </c>
      <c r="D89" s="10">
        <v>2021</v>
      </c>
      <c r="E89" s="10" t="s">
        <v>17</v>
      </c>
      <c r="F89" s="9" t="s">
        <v>81</v>
      </c>
    </row>
    <row r="90" spans="1:6" ht="22.5" customHeight="1">
      <c r="A90" s="9" t="s">
        <v>146</v>
      </c>
      <c r="B90" s="10" t="s">
        <v>45</v>
      </c>
      <c r="C90" s="11"/>
      <c r="D90" s="12">
        <v>2024</v>
      </c>
      <c r="E90" s="10" t="s">
        <v>69</v>
      </c>
      <c r="F90" s="9" t="s">
        <v>46</v>
      </c>
    </row>
    <row r="91" spans="1:6" ht="22.5" customHeight="1">
      <c r="A91" s="9" t="s">
        <v>147</v>
      </c>
      <c r="B91" s="13" t="s">
        <v>45</v>
      </c>
      <c r="C91" s="11">
        <f>2839+5</f>
        <v>2844</v>
      </c>
      <c r="D91" s="10">
        <v>2021</v>
      </c>
      <c r="E91" s="10" t="s">
        <v>17</v>
      </c>
      <c r="F91" s="9" t="s">
        <v>54</v>
      </c>
    </row>
    <row r="92" spans="1:6" ht="22.5" customHeight="1">
      <c r="A92" s="9" t="s">
        <v>148</v>
      </c>
      <c r="B92" s="13" t="s">
        <v>45</v>
      </c>
      <c r="C92" s="11">
        <v>870</v>
      </c>
      <c r="D92" s="10">
        <v>2021</v>
      </c>
      <c r="E92" s="10" t="s">
        <v>17</v>
      </c>
      <c r="F92" s="9" t="s">
        <v>54</v>
      </c>
    </row>
    <row r="93" spans="1:6" ht="22.5" customHeight="1">
      <c r="A93" s="9" t="s">
        <v>149</v>
      </c>
      <c r="B93" s="13" t="s">
        <v>45</v>
      </c>
      <c r="C93" s="11">
        <v>2575</v>
      </c>
      <c r="D93" s="10">
        <v>2021</v>
      </c>
      <c r="E93" s="10" t="s">
        <v>17</v>
      </c>
      <c r="F93" s="9" t="s">
        <v>54</v>
      </c>
    </row>
    <row r="94" spans="1:6" ht="22.5" customHeight="1">
      <c r="A94" s="9" t="s">
        <v>150</v>
      </c>
      <c r="B94" s="13" t="s">
        <v>45</v>
      </c>
      <c r="C94" s="11">
        <v>19</v>
      </c>
      <c r="D94" s="10">
        <v>2021</v>
      </c>
      <c r="E94" s="10" t="s">
        <v>17</v>
      </c>
      <c r="F94" s="9" t="s">
        <v>88</v>
      </c>
    </row>
    <row r="95" spans="1:6" ht="22.5" customHeight="1">
      <c r="A95" s="9" t="s">
        <v>151</v>
      </c>
      <c r="B95" s="13" t="s">
        <v>79</v>
      </c>
      <c r="C95" s="11">
        <v>1</v>
      </c>
      <c r="D95" s="10">
        <v>2021</v>
      </c>
      <c r="E95" s="10" t="s">
        <v>17</v>
      </c>
      <c r="F95" s="9" t="s">
        <v>88</v>
      </c>
    </row>
    <row r="96" spans="1:6" ht="22.5" customHeight="1">
      <c r="A96" s="9" t="s">
        <v>152</v>
      </c>
      <c r="B96" s="10" t="s">
        <v>79</v>
      </c>
      <c r="C96" s="11"/>
      <c r="D96" s="10"/>
      <c r="E96" s="10" t="s">
        <v>29</v>
      </c>
      <c r="F96" s="9" t="s">
        <v>85</v>
      </c>
    </row>
    <row r="97" spans="1:6" ht="22.5" customHeight="1">
      <c r="A97" s="9" t="s">
        <v>153</v>
      </c>
      <c r="B97" s="10" t="s">
        <v>45</v>
      </c>
      <c r="C97" s="11">
        <v>360.34800000000001</v>
      </c>
      <c r="D97" s="12">
        <v>2023</v>
      </c>
      <c r="E97" s="9" t="s">
        <v>16</v>
      </c>
      <c r="F97" s="9" t="s">
        <v>46</v>
      </c>
    </row>
    <row r="98" spans="1:6" ht="22.5" customHeight="1">
      <c r="A98" s="9" t="s">
        <v>154</v>
      </c>
      <c r="B98" s="10" t="s">
        <v>45</v>
      </c>
      <c r="C98" s="11">
        <v>19.593</v>
      </c>
      <c r="D98" s="12">
        <v>2023</v>
      </c>
      <c r="E98" s="9" t="s">
        <v>16</v>
      </c>
      <c r="F98" s="9" t="s">
        <v>81</v>
      </c>
    </row>
    <row r="99" spans="1:6" ht="22.5" customHeight="1">
      <c r="A99" s="9" t="s">
        <v>155</v>
      </c>
      <c r="B99" s="13" t="s">
        <v>45</v>
      </c>
      <c r="C99" s="11">
        <f>342+4</f>
        <v>346</v>
      </c>
      <c r="D99" s="10">
        <v>2021</v>
      </c>
      <c r="E99" s="10" t="s">
        <v>17</v>
      </c>
      <c r="F99" s="9" t="s">
        <v>81</v>
      </c>
    </row>
    <row r="100" spans="1:6" ht="22.5" customHeight="1">
      <c r="A100" s="9" t="s">
        <v>156</v>
      </c>
      <c r="B100" s="10" t="s">
        <v>45</v>
      </c>
      <c r="C100" s="11">
        <v>623</v>
      </c>
      <c r="D100" s="12">
        <v>2023</v>
      </c>
      <c r="E100" s="9" t="s">
        <v>8</v>
      </c>
      <c r="F100" s="9" t="s">
        <v>46</v>
      </c>
    </row>
    <row r="101" spans="1:6" ht="22.5" customHeight="1">
      <c r="A101" s="9" t="s">
        <v>157</v>
      </c>
      <c r="B101" s="10" t="s">
        <v>45</v>
      </c>
      <c r="C101" s="11">
        <v>614</v>
      </c>
      <c r="D101" s="12">
        <v>2023</v>
      </c>
      <c r="E101" s="9" t="s">
        <v>8</v>
      </c>
      <c r="F101" s="9" t="s">
        <v>46</v>
      </c>
    </row>
    <row r="102" spans="1:6" ht="22.5" customHeight="1">
      <c r="A102" s="9" t="s">
        <v>158</v>
      </c>
      <c r="B102" s="10" t="s">
        <v>45</v>
      </c>
      <c r="C102" s="11">
        <v>29344</v>
      </c>
      <c r="D102" s="12">
        <v>2023</v>
      </c>
      <c r="E102" s="10" t="s">
        <v>9</v>
      </c>
      <c r="F102" s="10" t="s">
        <v>46</v>
      </c>
    </row>
    <row r="103" spans="1:6" ht="22.5" customHeight="1">
      <c r="A103" s="9" t="s">
        <v>159</v>
      </c>
      <c r="B103" s="10" t="s">
        <v>79</v>
      </c>
      <c r="C103" s="11"/>
      <c r="D103" s="10"/>
      <c r="E103" s="10" t="s">
        <v>23</v>
      </c>
      <c r="F103" s="9" t="s">
        <v>46</v>
      </c>
    </row>
    <row r="104" spans="1:6" ht="22.5" customHeight="1">
      <c r="A104" s="9" t="s">
        <v>160</v>
      </c>
      <c r="B104" s="10" t="s">
        <v>79</v>
      </c>
      <c r="C104" s="11"/>
      <c r="D104" s="10"/>
      <c r="E104" s="10" t="s">
        <v>23</v>
      </c>
      <c r="F104" s="9" t="s">
        <v>46</v>
      </c>
    </row>
    <row r="105" spans="1:6" ht="22.5" customHeight="1">
      <c r="A105" s="9" t="s">
        <v>161</v>
      </c>
      <c r="B105" s="10" t="s">
        <v>45</v>
      </c>
      <c r="C105" s="11">
        <v>664</v>
      </c>
      <c r="D105" s="12">
        <v>2023</v>
      </c>
      <c r="E105" s="9" t="s">
        <v>8</v>
      </c>
      <c r="F105" s="9" t="s">
        <v>46</v>
      </c>
    </row>
    <row r="106" spans="1:6" ht="22.5" customHeight="1">
      <c r="A106" s="9" t="s">
        <v>162</v>
      </c>
      <c r="B106" s="10" t="s">
        <v>79</v>
      </c>
      <c r="C106" s="11">
        <v>16.962</v>
      </c>
      <c r="D106" s="12">
        <v>2023</v>
      </c>
      <c r="E106" s="9" t="s">
        <v>16</v>
      </c>
      <c r="F106" s="9" t="s">
        <v>46</v>
      </c>
    </row>
    <row r="107" spans="1:6" ht="22.5" customHeight="1">
      <c r="A107" s="9" t="s">
        <v>163</v>
      </c>
      <c r="B107" s="10" t="s">
        <v>45</v>
      </c>
      <c r="C107" s="11">
        <v>44</v>
      </c>
      <c r="D107" s="12">
        <v>2023</v>
      </c>
      <c r="E107" s="9" t="s">
        <v>8</v>
      </c>
      <c r="F107" s="9" t="s">
        <v>48</v>
      </c>
    </row>
    <row r="108" spans="1:6" ht="22.5" customHeight="1">
      <c r="A108" s="9" t="s">
        <v>164</v>
      </c>
      <c r="B108" s="10" t="s">
        <v>45</v>
      </c>
      <c r="C108" s="11">
        <v>3703.1320000000001</v>
      </c>
      <c r="D108" s="12">
        <v>2023</v>
      </c>
      <c r="E108" s="9" t="s">
        <v>16</v>
      </c>
      <c r="F108" s="9" t="s">
        <v>46</v>
      </c>
    </row>
    <row r="109" spans="1:6" ht="22.5" customHeight="1">
      <c r="A109" s="9" t="s">
        <v>165</v>
      </c>
      <c r="B109" s="10" t="s">
        <v>45</v>
      </c>
      <c r="C109" s="11">
        <v>547.7165</v>
      </c>
      <c r="D109" s="12">
        <v>2023</v>
      </c>
      <c r="E109" s="9" t="s">
        <v>16</v>
      </c>
      <c r="F109" s="9" t="s">
        <v>48</v>
      </c>
    </row>
    <row r="110" spans="1:6" ht="22.5" customHeight="1">
      <c r="A110" s="9" t="s">
        <v>166</v>
      </c>
      <c r="B110" s="10" t="s">
        <v>45</v>
      </c>
      <c r="C110" s="11">
        <v>17000.208999999999</v>
      </c>
      <c r="D110" s="12">
        <v>2023</v>
      </c>
      <c r="E110" s="9" t="s">
        <v>16</v>
      </c>
      <c r="F110" s="9" t="s">
        <v>81</v>
      </c>
    </row>
    <row r="111" spans="1:6" ht="22.5" customHeight="1">
      <c r="A111" s="9" t="s">
        <v>167</v>
      </c>
      <c r="B111" s="13" t="s">
        <v>45</v>
      </c>
      <c r="C111" s="11">
        <f>1801+18</f>
        <v>1819</v>
      </c>
      <c r="D111" s="10">
        <v>2021</v>
      </c>
      <c r="E111" s="10" t="s">
        <v>17</v>
      </c>
      <c r="F111" s="9" t="s">
        <v>168</v>
      </c>
    </row>
    <row r="112" spans="1:6" ht="22.5" customHeight="1">
      <c r="A112" s="9" t="s">
        <v>169</v>
      </c>
      <c r="B112" s="10" t="s">
        <v>45</v>
      </c>
      <c r="C112" s="11">
        <v>4502</v>
      </c>
      <c r="D112" s="12">
        <v>2023</v>
      </c>
      <c r="E112" s="9" t="s">
        <v>8</v>
      </c>
      <c r="F112" s="9" t="s">
        <v>46</v>
      </c>
    </row>
    <row r="113" spans="1:6" ht="22.5" customHeight="1">
      <c r="A113" s="9" t="s">
        <v>170</v>
      </c>
      <c r="B113" s="10" t="s">
        <v>74</v>
      </c>
      <c r="C113" s="11"/>
      <c r="D113" s="10"/>
      <c r="E113" s="10" t="s">
        <v>35</v>
      </c>
      <c r="F113" s="9"/>
    </row>
    <row r="114" spans="1:6" ht="22.5" customHeight="1">
      <c r="A114" s="9" t="s">
        <v>171</v>
      </c>
      <c r="B114" s="10" t="s">
        <v>45</v>
      </c>
      <c r="C114" s="11">
        <v>5141</v>
      </c>
      <c r="D114" s="12">
        <v>2023</v>
      </c>
      <c r="E114" s="9" t="s">
        <v>8</v>
      </c>
      <c r="F114" s="9" t="s">
        <v>46</v>
      </c>
    </row>
    <row r="115" spans="1:6" ht="22.5" customHeight="1">
      <c r="A115" s="9" t="s">
        <v>172</v>
      </c>
      <c r="B115" s="10" t="s">
        <v>45</v>
      </c>
      <c r="C115" s="11">
        <v>5581</v>
      </c>
      <c r="D115" s="12">
        <v>2024</v>
      </c>
      <c r="E115" s="10" t="s">
        <v>10</v>
      </c>
      <c r="F115" s="10" t="s">
        <v>46</v>
      </c>
    </row>
    <row r="116" spans="1:6" ht="22.5" customHeight="1">
      <c r="A116" s="9" t="s">
        <v>173</v>
      </c>
      <c r="B116" s="10" t="s">
        <v>45</v>
      </c>
      <c r="C116" s="11">
        <v>812</v>
      </c>
      <c r="D116" s="12">
        <v>2023</v>
      </c>
      <c r="E116" s="10" t="s">
        <v>10</v>
      </c>
      <c r="F116" s="10" t="s">
        <v>46</v>
      </c>
    </row>
    <row r="117" spans="1:6" ht="22.5" customHeight="1">
      <c r="A117" s="9" t="s">
        <v>174</v>
      </c>
      <c r="B117" s="10" t="s">
        <v>45</v>
      </c>
      <c r="C117" s="11">
        <v>11185</v>
      </c>
      <c r="D117" s="12">
        <v>2023</v>
      </c>
      <c r="E117" s="9" t="s">
        <v>8</v>
      </c>
      <c r="F117" s="9" t="s">
        <v>46</v>
      </c>
    </row>
    <row r="118" spans="1:6" ht="22.5" customHeight="1">
      <c r="A118" s="9" t="s">
        <v>175</v>
      </c>
      <c r="B118" s="10" t="s">
        <v>45</v>
      </c>
      <c r="C118" s="11">
        <v>55718</v>
      </c>
      <c r="D118" s="10">
        <v>2024</v>
      </c>
      <c r="E118" s="10" t="s">
        <v>10</v>
      </c>
      <c r="F118" s="10" t="s">
        <v>176</v>
      </c>
    </row>
    <row r="119" spans="1:6" ht="22.5" customHeight="1">
      <c r="A119" s="9" t="s">
        <v>177</v>
      </c>
      <c r="B119" s="10" t="s">
        <v>45</v>
      </c>
      <c r="C119" s="11">
        <v>5776</v>
      </c>
      <c r="D119" s="12">
        <v>2023</v>
      </c>
      <c r="E119" s="9" t="s">
        <v>8</v>
      </c>
      <c r="F119" s="9" t="s">
        <v>46</v>
      </c>
    </row>
    <row r="120" spans="1:6" ht="22.5" customHeight="1">
      <c r="A120" s="9" t="s">
        <v>178</v>
      </c>
      <c r="B120" s="10" t="s">
        <v>45</v>
      </c>
      <c r="C120" s="11">
        <v>554.77300000000002</v>
      </c>
      <c r="D120" s="12">
        <v>2023</v>
      </c>
      <c r="E120" s="9" t="s">
        <v>16</v>
      </c>
      <c r="F120" s="9" t="s">
        <v>48</v>
      </c>
    </row>
    <row r="121" spans="1:6" ht="22.5" customHeight="1">
      <c r="A121" s="9" t="s">
        <v>179</v>
      </c>
      <c r="B121" s="10" t="s">
        <v>45</v>
      </c>
      <c r="C121" s="11">
        <v>559.96699999999998</v>
      </c>
      <c r="D121" s="12">
        <v>2023</v>
      </c>
      <c r="E121" s="9" t="s">
        <v>16</v>
      </c>
      <c r="F121" s="9" t="s">
        <v>48</v>
      </c>
    </row>
    <row r="122" spans="1:6" ht="22.5" customHeight="1">
      <c r="A122" s="9" t="s">
        <v>180</v>
      </c>
      <c r="B122" s="10" t="s">
        <v>74</v>
      </c>
      <c r="C122" s="11"/>
      <c r="D122" s="10"/>
      <c r="E122" s="10" t="s">
        <v>35</v>
      </c>
      <c r="F122" s="9"/>
    </row>
    <row r="123" spans="1:6" ht="22.5" customHeight="1">
      <c r="A123" s="9" t="s">
        <v>181</v>
      </c>
      <c r="B123" s="10" t="s">
        <v>45</v>
      </c>
      <c r="C123" s="11">
        <v>60.320320000000002</v>
      </c>
      <c r="D123" s="12">
        <v>2023</v>
      </c>
      <c r="E123" s="9" t="s">
        <v>16</v>
      </c>
      <c r="F123" s="9" t="s">
        <v>46</v>
      </c>
    </row>
    <row r="124" spans="1:6" ht="22.5" customHeight="1">
      <c r="A124" s="9" t="s">
        <v>182</v>
      </c>
      <c r="B124" s="10" t="s">
        <v>45</v>
      </c>
      <c r="C124" s="11">
        <v>1615</v>
      </c>
      <c r="D124" s="12">
        <v>2023</v>
      </c>
      <c r="E124" s="9" t="s">
        <v>8</v>
      </c>
      <c r="F124" s="9" t="s">
        <v>46</v>
      </c>
    </row>
    <row r="125" spans="1:6" ht="22.5" customHeight="1">
      <c r="A125" s="9" t="s">
        <v>183</v>
      </c>
      <c r="B125" s="10" t="s">
        <v>79</v>
      </c>
      <c r="C125" s="11"/>
      <c r="D125" s="10"/>
      <c r="E125" s="10" t="s">
        <v>14</v>
      </c>
      <c r="F125" s="9" t="s">
        <v>46</v>
      </c>
    </row>
    <row r="126" spans="1:6" ht="22.5" customHeight="1">
      <c r="A126" s="9" t="s">
        <v>184</v>
      </c>
      <c r="B126" s="10" t="s">
        <v>45</v>
      </c>
      <c r="C126" s="11"/>
      <c r="D126" s="10">
        <v>2024</v>
      </c>
      <c r="E126" s="10" t="s">
        <v>69</v>
      </c>
      <c r="F126" s="9" t="s">
        <v>46</v>
      </c>
    </row>
    <row r="127" spans="1:6" ht="22.5" customHeight="1">
      <c r="A127" s="9" t="s">
        <v>185</v>
      </c>
      <c r="B127" s="10" t="s">
        <v>45</v>
      </c>
      <c r="C127" s="11"/>
      <c r="D127" s="12">
        <v>2024</v>
      </c>
      <c r="E127" s="10" t="s">
        <v>69</v>
      </c>
      <c r="F127" s="9" t="s">
        <v>46</v>
      </c>
    </row>
    <row r="128" spans="1:6" ht="22.5" customHeight="1">
      <c r="A128" s="9" t="s">
        <v>186</v>
      </c>
      <c r="B128" s="10" t="s">
        <v>45</v>
      </c>
      <c r="C128" s="11"/>
      <c r="D128" s="10"/>
      <c r="E128" s="10" t="s">
        <v>14</v>
      </c>
      <c r="F128" s="9" t="s">
        <v>46</v>
      </c>
    </row>
    <row r="129" spans="1:6" ht="22.5" customHeight="1">
      <c r="A129" s="9" t="s">
        <v>187</v>
      </c>
      <c r="B129" s="10" t="s">
        <v>79</v>
      </c>
      <c r="C129" s="11"/>
      <c r="D129" s="10"/>
      <c r="E129" s="10" t="s">
        <v>143</v>
      </c>
      <c r="F129" s="9"/>
    </row>
    <row r="130" spans="1:6" ht="22.5" customHeight="1">
      <c r="A130" s="9" t="s">
        <v>188</v>
      </c>
      <c r="B130" s="10" t="s">
        <v>79</v>
      </c>
      <c r="C130" s="11"/>
      <c r="D130" s="10"/>
      <c r="E130" s="10" t="s">
        <v>189</v>
      </c>
      <c r="F130" s="9"/>
    </row>
    <row r="131" spans="1:6" ht="22.5" customHeight="1">
      <c r="A131" s="9" t="s">
        <v>190</v>
      </c>
      <c r="B131" s="10" t="s">
        <v>79</v>
      </c>
      <c r="C131" s="11"/>
      <c r="D131" s="10"/>
      <c r="E131" s="10" t="s">
        <v>62</v>
      </c>
      <c r="F131" s="9"/>
    </row>
    <row r="132" spans="1:6" ht="22.5" customHeight="1">
      <c r="A132" s="9" t="s">
        <v>191</v>
      </c>
      <c r="B132" s="10" t="s">
        <v>45</v>
      </c>
      <c r="C132" s="11"/>
      <c r="D132" s="10"/>
      <c r="E132" s="10" t="s">
        <v>18</v>
      </c>
      <c r="F132" s="9" t="s">
        <v>81</v>
      </c>
    </row>
    <row r="133" spans="1:6" ht="22.5" customHeight="1">
      <c r="A133" s="9" t="s">
        <v>192</v>
      </c>
      <c r="B133" s="10" t="s">
        <v>45</v>
      </c>
      <c r="C133" s="11">
        <v>4339</v>
      </c>
      <c r="D133" s="12">
        <v>2023</v>
      </c>
      <c r="E133" s="9" t="s">
        <v>8</v>
      </c>
      <c r="F133" s="9" t="s">
        <v>81</v>
      </c>
    </row>
    <row r="134" spans="1:6" ht="22.5" customHeight="1">
      <c r="A134" s="9" t="s">
        <v>193</v>
      </c>
      <c r="B134" s="10" t="s">
        <v>45</v>
      </c>
      <c r="C134" s="11">
        <f>1551+657</f>
        <v>2208</v>
      </c>
      <c r="D134" s="12">
        <v>2023</v>
      </c>
      <c r="E134" s="10" t="s">
        <v>10</v>
      </c>
      <c r="F134" s="10" t="s">
        <v>46</v>
      </c>
    </row>
    <row r="135" spans="1:6" ht="22.5" customHeight="1">
      <c r="A135" s="9" t="s">
        <v>194</v>
      </c>
      <c r="B135" s="10" t="s">
        <v>45</v>
      </c>
      <c r="C135" s="11">
        <v>50.57291</v>
      </c>
      <c r="D135" s="12">
        <v>2023</v>
      </c>
      <c r="E135" s="9" t="s">
        <v>16</v>
      </c>
      <c r="F135" s="9" t="s">
        <v>48</v>
      </c>
    </row>
    <row r="136" spans="1:6" ht="22.5" customHeight="1">
      <c r="A136" s="9" t="s">
        <v>195</v>
      </c>
      <c r="B136" s="10" t="s">
        <v>45</v>
      </c>
      <c r="C136" s="11">
        <v>163495</v>
      </c>
      <c r="D136" s="10">
        <v>2024</v>
      </c>
      <c r="E136" s="10" t="s">
        <v>10</v>
      </c>
      <c r="F136" s="10" t="s">
        <v>46</v>
      </c>
    </row>
    <row r="137" spans="1:6" ht="22.5" customHeight="1">
      <c r="A137" s="9" t="s">
        <v>196</v>
      </c>
      <c r="B137" s="10" t="s">
        <v>45</v>
      </c>
      <c r="C137" s="11">
        <v>39244</v>
      </c>
      <c r="D137" s="10">
        <v>2024</v>
      </c>
      <c r="E137" s="10" t="s">
        <v>10</v>
      </c>
      <c r="F137" s="10" t="s">
        <v>81</v>
      </c>
    </row>
    <row r="138" spans="1:6" ht="22.5" customHeight="1">
      <c r="A138" s="9" t="s">
        <v>197</v>
      </c>
      <c r="B138" s="10" t="s">
        <v>45</v>
      </c>
      <c r="C138" s="11">
        <v>1741</v>
      </c>
      <c r="D138" s="12">
        <v>2023</v>
      </c>
      <c r="E138" s="10" t="s">
        <v>10</v>
      </c>
      <c r="F138" s="10" t="s">
        <v>81</v>
      </c>
    </row>
    <row r="139" spans="1:6" ht="22.5" customHeight="1">
      <c r="A139" s="9" t="s">
        <v>198</v>
      </c>
      <c r="B139" s="10" t="s">
        <v>45</v>
      </c>
      <c r="C139" s="11">
        <v>2954</v>
      </c>
      <c r="D139" s="12">
        <v>2024</v>
      </c>
      <c r="E139" s="10" t="s">
        <v>10</v>
      </c>
      <c r="F139" s="10" t="s">
        <v>81</v>
      </c>
    </row>
    <row r="140" spans="1:6" ht="22.5" customHeight="1">
      <c r="A140" s="9" t="s">
        <v>199</v>
      </c>
      <c r="B140" s="10" t="s">
        <v>45</v>
      </c>
      <c r="C140" s="11">
        <v>254</v>
      </c>
      <c r="D140" s="12">
        <v>2023</v>
      </c>
      <c r="E140" s="9" t="s">
        <v>8</v>
      </c>
      <c r="F140" s="9" t="s">
        <v>48</v>
      </c>
    </row>
    <row r="141" spans="1:6" ht="22.5" customHeight="1">
      <c r="A141" s="9" t="s">
        <v>200</v>
      </c>
      <c r="B141" s="10" t="s">
        <v>45</v>
      </c>
      <c r="C141" s="11">
        <v>2100</v>
      </c>
      <c r="D141" s="12">
        <v>2024</v>
      </c>
      <c r="E141" s="10" t="s">
        <v>10</v>
      </c>
      <c r="F141" s="10" t="s">
        <v>46</v>
      </c>
    </row>
    <row r="142" spans="1:6" ht="22.5" customHeight="1">
      <c r="A142" s="9" t="s">
        <v>201</v>
      </c>
      <c r="B142" s="13" t="s">
        <v>45</v>
      </c>
      <c r="C142" s="11">
        <v>72</v>
      </c>
      <c r="D142" s="10">
        <v>2021</v>
      </c>
      <c r="E142" s="10" t="s">
        <v>17</v>
      </c>
      <c r="F142" s="9" t="s">
        <v>202</v>
      </c>
    </row>
    <row r="143" spans="1:6" ht="22.5" customHeight="1">
      <c r="A143" s="9" t="s">
        <v>203</v>
      </c>
      <c r="B143" s="10" t="s">
        <v>45</v>
      </c>
      <c r="C143" s="11">
        <v>456</v>
      </c>
      <c r="D143" s="12">
        <v>2023</v>
      </c>
      <c r="E143" s="9" t="s">
        <v>8</v>
      </c>
      <c r="F143" s="9" t="s">
        <v>48</v>
      </c>
    </row>
    <row r="144" spans="1:6" ht="22.5" customHeight="1">
      <c r="A144" s="9" t="s">
        <v>204</v>
      </c>
      <c r="B144" s="10" t="s">
        <v>45</v>
      </c>
      <c r="C144" s="11">
        <v>23.6006</v>
      </c>
      <c r="D144" s="12">
        <v>2023</v>
      </c>
      <c r="E144" s="9" t="s">
        <v>16</v>
      </c>
      <c r="F144" s="9" t="s">
        <v>46</v>
      </c>
    </row>
    <row r="145" spans="1:6" ht="22.5" customHeight="1">
      <c r="A145" s="9" t="s">
        <v>205</v>
      </c>
      <c r="B145" s="10" t="s">
        <v>45</v>
      </c>
      <c r="C145" s="11">
        <v>2238</v>
      </c>
      <c r="D145" s="12">
        <v>2023</v>
      </c>
      <c r="E145" s="9" t="s">
        <v>8</v>
      </c>
      <c r="F145" s="9" t="s">
        <v>46</v>
      </c>
    </row>
    <row r="146" spans="1:6" ht="22.5" customHeight="1">
      <c r="A146" s="9" t="s">
        <v>206</v>
      </c>
      <c r="B146" s="10" t="s">
        <v>45</v>
      </c>
      <c r="C146" s="11">
        <v>171</v>
      </c>
      <c r="D146" s="12">
        <v>2023</v>
      </c>
      <c r="E146" s="9" t="s">
        <v>8</v>
      </c>
      <c r="F146" s="9" t="s">
        <v>48</v>
      </c>
    </row>
    <row r="147" spans="1:6" ht="22.5" customHeight="1">
      <c r="A147" s="9" t="s">
        <v>207</v>
      </c>
      <c r="B147" s="10" t="s">
        <v>45</v>
      </c>
      <c r="C147" s="11">
        <v>7421</v>
      </c>
      <c r="D147" s="12">
        <v>2024</v>
      </c>
      <c r="E147" s="10" t="s">
        <v>10</v>
      </c>
      <c r="F147" s="10" t="s">
        <v>46</v>
      </c>
    </row>
    <row r="148" spans="1:6" ht="22.5" customHeight="1">
      <c r="A148" s="9" t="s">
        <v>208</v>
      </c>
      <c r="B148" s="10" t="s">
        <v>45</v>
      </c>
      <c r="C148" s="11">
        <v>418</v>
      </c>
      <c r="D148" s="12">
        <v>2024</v>
      </c>
      <c r="E148" s="10" t="s">
        <v>10</v>
      </c>
      <c r="F148" s="10" t="s">
        <v>46</v>
      </c>
    </row>
    <row r="149" spans="1:6" ht="22.5" customHeight="1">
      <c r="A149" s="9" t="s">
        <v>209</v>
      </c>
      <c r="B149" s="10" t="s">
        <v>45</v>
      </c>
      <c r="C149" s="11">
        <v>2629</v>
      </c>
      <c r="D149" s="12">
        <v>2024</v>
      </c>
      <c r="E149" s="10" t="s">
        <v>10</v>
      </c>
      <c r="F149" s="10" t="s">
        <v>46</v>
      </c>
    </row>
    <row r="150" spans="1:6" ht="22.5" customHeight="1">
      <c r="A150" s="9" t="s">
        <v>210</v>
      </c>
      <c r="B150" s="10" t="s">
        <v>45</v>
      </c>
      <c r="C150" s="11">
        <v>78.802999999999997</v>
      </c>
      <c r="D150" s="10">
        <v>2019</v>
      </c>
      <c r="E150" s="10" t="s">
        <v>28</v>
      </c>
      <c r="F150" s="9" t="s">
        <v>54</v>
      </c>
    </row>
    <row r="151" spans="1:6" ht="22.5" customHeight="1">
      <c r="A151" s="9" t="s">
        <v>211</v>
      </c>
      <c r="B151" s="10" t="s">
        <v>45</v>
      </c>
      <c r="C151" s="11">
        <v>242.124</v>
      </c>
      <c r="D151" s="10">
        <v>2019</v>
      </c>
      <c r="E151" s="10" t="s">
        <v>28</v>
      </c>
      <c r="F151" s="9" t="s">
        <v>81</v>
      </c>
    </row>
    <row r="152" spans="1:6" ht="22.5" customHeight="1">
      <c r="A152" s="9" t="s">
        <v>212</v>
      </c>
      <c r="B152" s="10" t="s">
        <v>45</v>
      </c>
      <c r="C152" s="11">
        <v>9.718</v>
      </c>
      <c r="D152" s="10">
        <v>2019</v>
      </c>
      <c r="E152" s="10" t="s">
        <v>28</v>
      </c>
      <c r="F152" s="9" t="s">
        <v>48</v>
      </c>
    </row>
    <row r="153" spans="1:6" ht="22.5" customHeight="1">
      <c r="A153" s="9" t="s">
        <v>213</v>
      </c>
      <c r="B153" s="10" t="s">
        <v>45</v>
      </c>
      <c r="C153" s="11">
        <v>36.255000000000003</v>
      </c>
      <c r="D153" s="10">
        <v>2019</v>
      </c>
      <c r="E153" s="10" t="s">
        <v>28</v>
      </c>
      <c r="F153" s="9" t="s">
        <v>81</v>
      </c>
    </row>
    <row r="154" spans="1:6" ht="22.5" customHeight="1">
      <c r="A154" s="9" t="s">
        <v>214</v>
      </c>
      <c r="B154" s="10" t="s">
        <v>45</v>
      </c>
      <c r="C154" s="11">
        <v>71.63</v>
      </c>
      <c r="D154" s="10">
        <v>2019</v>
      </c>
      <c r="E154" s="10" t="s">
        <v>28</v>
      </c>
      <c r="F154" s="9" t="s">
        <v>81</v>
      </c>
    </row>
    <row r="155" spans="1:6" ht="22.5" customHeight="1">
      <c r="A155" s="9" t="s">
        <v>215</v>
      </c>
      <c r="B155" s="10" t="s">
        <v>45</v>
      </c>
      <c r="C155" s="11"/>
      <c r="D155" s="10"/>
      <c r="E155" s="10" t="s">
        <v>28</v>
      </c>
      <c r="F155" s="9" t="s">
        <v>81</v>
      </c>
    </row>
    <row r="156" spans="1:6" ht="22.5" customHeight="1">
      <c r="A156" s="9" t="s">
        <v>216</v>
      </c>
      <c r="B156" s="10" t="s">
        <v>45</v>
      </c>
      <c r="C156" s="11">
        <v>0.28100000000000003</v>
      </c>
      <c r="D156" s="10">
        <v>2019</v>
      </c>
      <c r="E156" s="10" t="s">
        <v>28</v>
      </c>
      <c r="F156" s="9" t="s">
        <v>46</v>
      </c>
    </row>
    <row r="157" spans="1:6" ht="22.5" customHeight="1">
      <c r="A157" s="9" t="s">
        <v>217</v>
      </c>
      <c r="B157" s="10" t="s">
        <v>79</v>
      </c>
      <c r="C157" s="11">
        <v>2.6560000000000001</v>
      </c>
      <c r="D157" s="10">
        <v>2019</v>
      </c>
      <c r="E157" s="10" t="s">
        <v>28</v>
      </c>
      <c r="F157" s="9" t="s">
        <v>202</v>
      </c>
    </row>
    <row r="158" spans="1:6" ht="22.5" customHeight="1">
      <c r="A158" s="9" t="s">
        <v>218</v>
      </c>
      <c r="B158" s="10" t="s">
        <v>45</v>
      </c>
      <c r="C158" s="11">
        <v>26.074999999999999</v>
      </c>
      <c r="D158" s="10">
        <v>2019</v>
      </c>
      <c r="E158" s="10" t="s">
        <v>28</v>
      </c>
      <c r="F158" s="9" t="s">
        <v>54</v>
      </c>
    </row>
    <row r="159" spans="1:6" ht="22.5" customHeight="1">
      <c r="A159" s="9" t="s">
        <v>219</v>
      </c>
      <c r="B159" s="10" t="s">
        <v>45</v>
      </c>
      <c r="C159" s="11">
        <v>11.612</v>
      </c>
      <c r="D159" s="10">
        <v>2019</v>
      </c>
      <c r="E159" s="10" t="s">
        <v>28</v>
      </c>
      <c r="F159" s="9" t="s">
        <v>54</v>
      </c>
    </row>
    <row r="160" spans="1:6" ht="22.5" customHeight="1">
      <c r="A160" s="9" t="s">
        <v>220</v>
      </c>
      <c r="B160" s="10" t="s">
        <v>45</v>
      </c>
      <c r="C160" s="11">
        <v>1015.491</v>
      </c>
      <c r="D160" s="10">
        <v>2019</v>
      </c>
      <c r="E160" s="10" t="s">
        <v>28</v>
      </c>
      <c r="F160" s="9" t="s">
        <v>46</v>
      </c>
    </row>
    <row r="161" spans="1:6" ht="22.5" customHeight="1">
      <c r="A161" s="9" t="s">
        <v>221</v>
      </c>
      <c r="B161" s="10" t="s">
        <v>45</v>
      </c>
      <c r="C161" s="11">
        <v>209.78</v>
      </c>
      <c r="D161" s="10">
        <v>2019</v>
      </c>
      <c r="E161" s="10" t="s">
        <v>28</v>
      </c>
      <c r="F161" s="9" t="s">
        <v>81</v>
      </c>
    </row>
    <row r="162" spans="1:6" ht="22.5" customHeight="1">
      <c r="A162" s="9" t="s">
        <v>222</v>
      </c>
      <c r="B162" s="10" t="s">
        <v>45</v>
      </c>
      <c r="C162" s="11">
        <v>129.60300000000001</v>
      </c>
      <c r="D162" s="10">
        <v>2019</v>
      </c>
      <c r="E162" s="10" t="s">
        <v>28</v>
      </c>
      <c r="F162" s="9" t="s">
        <v>81</v>
      </c>
    </row>
    <row r="163" spans="1:6" ht="22.5" customHeight="1">
      <c r="A163" s="9" t="s">
        <v>223</v>
      </c>
      <c r="B163" s="10" t="s">
        <v>45</v>
      </c>
      <c r="C163" s="11">
        <v>8.5939999999999994</v>
      </c>
      <c r="D163" s="10">
        <v>2019</v>
      </c>
      <c r="E163" s="10" t="s">
        <v>28</v>
      </c>
      <c r="F163" s="9" t="s">
        <v>81</v>
      </c>
    </row>
    <row r="164" spans="1:6" ht="22.5" customHeight="1">
      <c r="A164" s="9" t="s">
        <v>224</v>
      </c>
      <c r="B164" s="10" t="s">
        <v>45</v>
      </c>
      <c r="C164" s="11">
        <v>2.6589999999999998</v>
      </c>
      <c r="D164" s="12">
        <v>2023</v>
      </c>
      <c r="E164" s="9" t="s">
        <v>16</v>
      </c>
      <c r="F164" s="9" t="s">
        <v>46</v>
      </c>
    </row>
    <row r="165" spans="1:6" ht="22.5" customHeight="1">
      <c r="A165" s="9" t="s">
        <v>225</v>
      </c>
      <c r="B165" s="10" t="s">
        <v>79</v>
      </c>
      <c r="C165" s="11">
        <v>3602</v>
      </c>
      <c r="D165" s="12">
        <v>2023</v>
      </c>
      <c r="E165" s="9" t="s">
        <v>8</v>
      </c>
      <c r="F165" s="9" t="s">
        <v>46</v>
      </c>
    </row>
    <row r="166" spans="1:6" ht="22.5" customHeight="1">
      <c r="A166" s="9" t="s">
        <v>226</v>
      </c>
      <c r="B166" s="10" t="s">
        <v>45</v>
      </c>
      <c r="C166" s="11">
        <v>16711</v>
      </c>
      <c r="D166" s="12">
        <v>2023</v>
      </c>
      <c r="E166" s="10" t="s">
        <v>9</v>
      </c>
      <c r="F166" s="10" t="s">
        <v>46</v>
      </c>
    </row>
    <row r="167" spans="1:6" ht="22.5" customHeight="1">
      <c r="A167" s="9" t="s">
        <v>227</v>
      </c>
      <c r="B167" s="10" t="s">
        <v>45</v>
      </c>
      <c r="C167" s="11">
        <v>592</v>
      </c>
      <c r="D167" s="12">
        <v>2024</v>
      </c>
      <c r="E167" s="10" t="s">
        <v>10</v>
      </c>
      <c r="F167" s="10" t="s">
        <v>46</v>
      </c>
    </row>
    <row r="168" spans="1:6" ht="22.5" customHeight="1">
      <c r="A168" s="9" t="s">
        <v>228</v>
      </c>
      <c r="B168" s="10" t="s">
        <v>45</v>
      </c>
      <c r="C168" s="11">
        <v>15936</v>
      </c>
      <c r="D168" s="12">
        <v>2023</v>
      </c>
      <c r="E168" s="9" t="s">
        <v>8</v>
      </c>
      <c r="F168" s="9" t="s">
        <v>46</v>
      </c>
    </row>
    <row r="169" spans="1:6" ht="22.5" customHeight="1">
      <c r="A169" s="9" t="s">
        <v>229</v>
      </c>
      <c r="B169" s="10" t="s">
        <v>45</v>
      </c>
      <c r="C169" s="11"/>
      <c r="D169" s="10"/>
      <c r="E169" s="10" t="s">
        <v>18</v>
      </c>
      <c r="F169" s="9" t="s">
        <v>81</v>
      </c>
    </row>
    <row r="170" spans="1:6" ht="22.5" customHeight="1">
      <c r="A170" s="9" t="s">
        <v>230</v>
      </c>
      <c r="B170" s="10" t="s">
        <v>45</v>
      </c>
      <c r="C170" s="11">
        <v>41</v>
      </c>
      <c r="D170" s="12">
        <v>2023</v>
      </c>
      <c r="E170" s="9" t="s">
        <v>8</v>
      </c>
      <c r="F170" s="9" t="s">
        <v>48</v>
      </c>
    </row>
    <row r="171" spans="1:6" ht="22.5" customHeight="1">
      <c r="A171" s="9" t="s">
        <v>231</v>
      </c>
      <c r="B171" s="10" t="s">
        <v>45</v>
      </c>
      <c r="C171" s="11">
        <v>1312</v>
      </c>
      <c r="D171" s="12">
        <v>2023</v>
      </c>
      <c r="E171" s="9" t="s">
        <v>8</v>
      </c>
      <c r="F171" s="9" t="s">
        <v>48</v>
      </c>
    </row>
    <row r="172" spans="1:6" ht="22.5" customHeight="1">
      <c r="A172" s="9" t="s">
        <v>232</v>
      </c>
      <c r="B172" s="10" t="s">
        <v>45</v>
      </c>
      <c r="C172" s="11">
        <v>302.47699999999998</v>
      </c>
      <c r="D172" s="12">
        <v>2023</v>
      </c>
      <c r="E172" s="9" t="s">
        <v>16</v>
      </c>
      <c r="F172" s="9" t="s">
        <v>81</v>
      </c>
    </row>
    <row r="173" spans="1:6" ht="22.5" customHeight="1">
      <c r="A173" s="9" t="s">
        <v>233</v>
      </c>
      <c r="B173" s="10" t="s">
        <v>45</v>
      </c>
      <c r="C173" s="11">
        <v>14436</v>
      </c>
      <c r="D173" s="12">
        <v>2023</v>
      </c>
      <c r="E173" s="9" t="s">
        <v>8</v>
      </c>
      <c r="F173" s="9" t="s">
        <v>81</v>
      </c>
    </row>
    <row r="174" spans="1:6" ht="22.5" customHeight="1">
      <c r="A174" s="9" t="s">
        <v>234</v>
      </c>
      <c r="B174" s="10" t="s">
        <v>79</v>
      </c>
      <c r="C174" s="11">
        <v>2742</v>
      </c>
      <c r="D174" s="12">
        <v>2023</v>
      </c>
      <c r="E174" s="9" t="s">
        <v>8</v>
      </c>
      <c r="F174" s="9" t="s">
        <v>46</v>
      </c>
    </row>
    <row r="175" spans="1:6" ht="22.5" customHeight="1">
      <c r="A175" s="9" t="s">
        <v>235</v>
      </c>
      <c r="B175" s="10" t="s">
        <v>45</v>
      </c>
      <c r="C175" s="11">
        <v>13834</v>
      </c>
      <c r="D175" s="12">
        <v>2023</v>
      </c>
      <c r="E175" s="9" t="s">
        <v>8</v>
      </c>
      <c r="F175" s="9" t="s">
        <v>46</v>
      </c>
    </row>
    <row r="176" spans="1:6" ht="22.5" customHeight="1">
      <c r="A176" s="9" t="s">
        <v>236</v>
      </c>
      <c r="B176" s="10" t="s">
        <v>45</v>
      </c>
      <c r="C176" s="11">
        <v>1829</v>
      </c>
      <c r="D176" s="12">
        <v>2023</v>
      </c>
      <c r="E176" s="9" t="s">
        <v>8</v>
      </c>
      <c r="F176" s="9" t="s">
        <v>48</v>
      </c>
    </row>
    <row r="177" spans="1:6" ht="22.5" customHeight="1">
      <c r="A177" s="9" t="s">
        <v>237</v>
      </c>
      <c r="B177" s="10" t="s">
        <v>45</v>
      </c>
      <c r="C177" s="11">
        <v>1064</v>
      </c>
      <c r="D177" s="12">
        <v>2023</v>
      </c>
      <c r="E177" s="9" t="s">
        <v>8</v>
      </c>
      <c r="F177" s="9" t="s">
        <v>46</v>
      </c>
    </row>
    <row r="178" spans="1:6" ht="22.5" customHeight="1">
      <c r="A178" s="9" t="s">
        <v>238</v>
      </c>
      <c r="B178" s="13" t="s">
        <v>45</v>
      </c>
      <c r="C178" s="11">
        <v>58</v>
      </c>
      <c r="D178" s="10">
        <v>2021</v>
      </c>
      <c r="E178" s="10" t="s">
        <v>17</v>
      </c>
      <c r="F178" s="9" t="s">
        <v>46</v>
      </c>
    </row>
    <row r="179" spans="1:6" ht="22.5" customHeight="1">
      <c r="A179" s="9" t="s">
        <v>239</v>
      </c>
      <c r="B179" s="10" t="s">
        <v>45</v>
      </c>
      <c r="C179" s="11">
        <v>580.35906999999997</v>
      </c>
      <c r="D179" s="12">
        <v>2023</v>
      </c>
      <c r="E179" s="9" t="s">
        <v>16</v>
      </c>
      <c r="F179" s="9" t="s">
        <v>46</v>
      </c>
    </row>
    <row r="180" spans="1:6" ht="22.5" customHeight="1">
      <c r="A180" s="9" t="s">
        <v>240</v>
      </c>
      <c r="B180" s="10" t="s">
        <v>45</v>
      </c>
      <c r="C180" s="11">
        <v>1532</v>
      </c>
      <c r="D180" s="12">
        <v>2023</v>
      </c>
      <c r="E180" s="10" t="s">
        <v>9</v>
      </c>
      <c r="F180" s="10" t="s">
        <v>46</v>
      </c>
    </row>
    <row r="181" spans="1:6" ht="22.5" customHeight="1">
      <c r="A181" s="9" t="s">
        <v>241</v>
      </c>
      <c r="B181" s="10" t="s">
        <v>45</v>
      </c>
      <c r="C181" s="11">
        <v>1031</v>
      </c>
      <c r="D181" s="12">
        <v>2023</v>
      </c>
      <c r="E181" s="9" t="s">
        <v>8</v>
      </c>
      <c r="F181" s="9" t="s">
        <v>48</v>
      </c>
    </row>
    <row r="182" spans="1:6" ht="22.5" customHeight="1">
      <c r="A182" s="9" t="s">
        <v>242</v>
      </c>
      <c r="B182" s="10" t="s">
        <v>79</v>
      </c>
      <c r="C182" s="11"/>
      <c r="D182" s="10"/>
      <c r="E182" s="10" t="s">
        <v>18</v>
      </c>
      <c r="F182" s="9" t="s">
        <v>46</v>
      </c>
    </row>
    <row r="183" spans="1:6" ht="22.5" customHeight="1">
      <c r="A183" s="9" t="s">
        <v>243</v>
      </c>
      <c r="B183" s="13" t="s">
        <v>45</v>
      </c>
      <c r="C183" s="11">
        <v>94</v>
      </c>
      <c r="D183" s="10">
        <v>2021</v>
      </c>
      <c r="E183" s="10" t="s">
        <v>17</v>
      </c>
      <c r="F183" s="9" t="s">
        <v>202</v>
      </c>
    </row>
    <row r="184" spans="1:6" ht="22.5" customHeight="1">
      <c r="A184" s="9" t="s">
        <v>244</v>
      </c>
      <c r="B184" s="10" t="s">
        <v>79</v>
      </c>
      <c r="C184" s="11"/>
      <c r="D184" s="10"/>
      <c r="E184" s="10" t="s">
        <v>189</v>
      </c>
      <c r="F184" s="9" t="s">
        <v>245</v>
      </c>
    </row>
    <row r="185" spans="1:6" ht="22.5" customHeight="1">
      <c r="A185" s="9" t="s">
        <v>246</v>
      </c>
      <c r="B185" s="10" t="s">
        <v>79</v>
      </c>
      <c r="C185" s="11"/>
      <c r="D185" s="10"/>
      <c r="E185" s="10" t="s">
        <v>189</v>
      </c>
      <c r="F185" s="9" t="s">
        <v>81</v>
      </c>
    </row>
    <row r="186" spans="1:6" ht="22.5" customHeight="1">
      <c r="A186" s="9" t="s">
        <v>247</v>
      </c>
      <c r="B186" s="10" t="s">
        <v>79</v>
      </c>
      <c r="C186" s="11"/>
      <c r="D186" s="10"/>
      <c r="E186" s="10" t="s">
        <v>189</v>
      </c>
      <c r="F186" s="9" t="s">
        <v>81</v>
      </c>
    </row>
    <row r="187" spans="1:6" ht="22.5" customHeight="1">
      <c r="A187" s="9" t="s">
        <v>248</v>
      </c>
      <c r="B187" s="10" t="s">
        <v>79</v>
      </c>
      <c r="C187" s="11">
        <v>180</v>
      </c>
      <c r="D187" s="12">
        <v>2023</v>
      </c>
      <c r="E187" s="9" t="s">
        <v>8</v>
      </c>
      <c r="F187" s="9" t="s">
        <v>46</v>
      </c>
    </row>
    <row r="188" spans="1:6" ht="22.5" customHeight="1">
      <c r="A188" s="9" t="s">
        <v>249</v>
      </c>
      <c r="B188" s="10" t="s">
        <v>45</v>
      </c>
      <c r="C188" s="11">
        <v>2115</v>
      </c>
      <c r="D188" s="12">
        <v>2024</v>
      </c>
      <c r="E188" s="10" t="s">
        <v>10</v>
      </c>
      <c r="F188" s="10" t="s">
        <v>46</v>
      </c>
    </row>
    <row r="189" spans="1:6" ht="22.5" customHeight="1">
      <c r="A189" s="9" t="s">
        <v>250</v>
      </c>
      <c r="B189" s="10" t="s">
        <v>45</v>
      </c>
      <c r="C189" s="11"/>
      <c r="D189" s="10"/>
      <c r="E189" s="10" t="s">
        <v>62</v>
      </c>
      <c r="F189" s="9"/>
    </row>
    <row r="190" spans="1:6" ht="22.5" customHeight="1">
      <c r="A190" s="9" t="s">
        <v>251</v>
      </c>
      <c r="B190" s="10" t="s">
        <v>45</v>
      </c>
      <c r="C190" s="11">
        <v>1319</v>
      </c>
      <c r="D190" s="12">
        <v>2023</v>
      </c>
      <c r="E190" s="10" t="s">
        <v>10</v>
      </c>
      <c r="F190" s="10" t="s">
        <v>46</v>
      </c>
    </row>
    <row r="191" spans="1:6" ht="22.5" customHeight="1">
      <c r="A191" s="9" t="s">
        <v>252</v>
      </c>
      <c r="B191" s="10" t="s">
        <v>79</v>
      </c>
      <c r="C191" s="11"/>
      <c r="D191" s="10"/>
      <c r="E191" s="10" t="s">
        <v>27</v>
      </c>
      <c r="F191" s="9" t="s">
        <v>46</v>
      </c>
    </row>
    <row r="192" spans="1:6" ht="22.5" customHeight="1">
      <c r="A192" s="9" t="s">
        <v>253</v>
      </c>
      <c r="B192" s="10" t="s">
        <v>79</v>
      </c>
      <c r="C192" s="11"/>
      <c r="D192" s="10"/>
      <c r="E192" s="10" t="s">
        <v>29</v>
      </c>
      <c r="F192" s="9" t="s">
        <v>46</v>
      </c>
    </row>
    <row r="193" spans="1:6" ht="22.5" customHeight="1">
      <c r="A193" s="9" t="s">
        <v>254</v>
      </c>
      <c r="B193" s="10" t="s">
        <v>45</v>
      </c>
      <c r="C193" s="11">
        <v>50</v>
      </c>
      <c r="D193" s="10">
        <v>2020</v>
      </c>
      <c r="E193" s="10" t="s">
        <v>62</v>
      </c>
      <c r="F193" s="9" t="s">
        <v>255</v>
      </c>
    </row>
    <row r="194" spans="1:6" ht="22.5" customHeight="1">
      <c r="A194" s="9" t="s">
        <v>256</v>
      </c>
      <c r="B194" s="10" t="s">
        <v>45</v>
      </c>
      <c r="C194" s="11"/>
      <c r="D194" s="10"/>
      <c r="E194" s="10" t="s">
        <v>62</v>
      </c>
      <c r="F194" s="9"/>
    </row>
    <row r="195" spans="1:6" ht="22.5" customHeight="1">
      <c r="A195" s="9" t="s">
        <v>257</v>
      </c>
      <c r="B195" s="10" t="s">
        <v>45</v>
      </c>
      <c r="C195" s="11">
        <v>8694</v>
      </c>
      <c r="D195" s="12">
        <v>2024</v>
      </c>
      <c r="E195" s="10" t="s">
        <v>10</v>
      </c>
      <c r="F195" s="10" t="s">
        <v>46</v>
      </c>
    </row>
    <row r="196" spans="1:6" ht="22.5" customHeight="1">
      <c r="A196" s="9" t="s">
        <v>258</v>
      </c>
      <c r="B196" s="10" t="s">
        <v>79</v>
      </c>
      <c r="C196" s="11"/>
      <c r="D196" s="10"/>
      <c r="E196" s="10" t="s">
        <v>189</v>
      </c>
      <c r="F196" s="9"/>
    </row>
    <row r="197" spans="1:6" ht="22.5" customHeight="1">
      <c r="A197" s="9" t="s">
        <v>259</v>
      </c>
      <c r="B197" s="10" t="s">
        <v>45</v>
      </c>
      <c r="C197" s="11"/>
      <c r="D197" s="10"/>
      <c r="E197" s="10" t="s">
        <v>260</v>
      </c>
      <c r="F197" s="9" t="s">
        <v>81</v>
      </c>
    </row>
    <row r="198" spans="1:6" ht="22.5" customHeight="1">
      <c r="A198" s="9" t="s">
        <v>261</v>
      </c>
      <c r="B198" s="10" t="s">
        <v>79</v>
      </c>
      <c r="C198" s="11"/>
      <c r="D198" s="10"/>
      <c r="E198" s="10" t="s">
        <v>260</v>
      </c>
      <c r="F198" s="9" t="s">
        <v>81</v>
      </c>
    </row>
    <row r="199" spans="1:6" ht="22.5" customHeight="1">
      <c r="A199" s="9" t="s">
        <v>262</v>
      </c>
      <c r="B199" s="10" t="s">
        <v>45</v>
      </c>
      <c r="C199" s="11">
        <v>3048</v>
      </c>
      <c r="D199" s="12">
        <v>2023</v>
      </c>
      <c r="E199" s="10" t="s">
        <v>9</v>
      </c>
      <c r="F199" s="10" t="s">
        <v>46</v>
      </c>
    </row>
    <row r="200" spans="1:6" ht="22.5" customHeight="1">
      <c r="A200" s="9" t="s">
        <v>263</v>
      </c>
      <c r="B200" s="10" t="s">
        <v>45</v>
      </c>
      <c r="C200" s="11">
        <v>1827.9069999999999</v>
      </c>
      <c r="D200" s="12">
        <v>2023</v>
      </c>
      <c r="E200" s="9" t="s">
        <v>16</v>
      </c>
      <c r="F200" s="9" t="s">
        <v>46</v>
      </c>
    </row>
    <row r="201" spans="1:6" ht="22.5" customHeight="1">
      <c r="A201" s="9" t="s">
        <v>264</v>
      </c>
      <c r="B201" s="10" t="s">
        <v>79</v>
      </c>
      <c r="C201" s="11"/>
      <c r="D201" s="10"/>
      <c r="E201" s="10" t="s">
        <v>62</v>
      </c>
      <c r="F201" s="9"/>
    </row>
    <row r="202" spans="1:6" ht="22.5" customHeight="1">
      <c r="A202" s="9" t="s">
        <v>265</v>
      </c>
      <c r="B202" s="10" t="s">
        <v>74</v>
      </c>
      <c r="C202" s="11"/>
      <c r="D202" s="10"/>
      <c r="E202" s="10" t="s">
        <v>35</v>
      </c>
      <c r="F202" s="9"/>
    </row>
    <row r="203" spans="1:6" ht="22.5" customHeight="1">
      <c r="A203" s="9" t="s">
        <v>266</v>
      </c>
      <c r="B203" s="10" t="s">
        <v>45</v>
      </c>
      <c r="C203" s="11">
        <v>1329</v>
      </c>
      <c r="D203" s="12">
        <v>2024</v>
      </c>
      <c r="E203" s="10" t="s">
        <v>10</v>
      </c>
      <c r="F203" s="10" t="s">
        <v>46</v>
      </c>
    </row>
    <row r="204" spans="1:6" ht="22.5" customHeight="1">
      <c r="A204" s="9" t="s">
        <v>267</v>
      </c>
      <c r="B204" s="10" t="s">
        <v>45</v>
      </c>
      <c r="C204" s="11">
        <v>949</v>
      </c>
      <c r="D204" s="12">
        <v>2023</v>
      </c>
      <c r="E204" s="9" t="s">
        <v>8</v>
      </c>
      <c r="F204" s="9" t="s">
        <v>46</v>
      </c>
    </row>
    <row r="205" spans="1:6" ht="22.5" customHeight="1">
      <c r="A205" s="9" t="s">
        <v>268</v>
      </c>
      <c r="B205" s="10" t="s">
        <v>79</v>
      </c>
      <c r="C205" s="11">
        <v>6099</v>
      </c>
      <c r="D205" s="12">
        <v>2023</v>
      </c>
      <c r="E205" s="9" t="s">
        <v>8</v>
      </c>
      <c r="F205" s="9" t="s">
        <v>46</v>
      </c>
    </row>
    <row r="206" spans="1:6" ht="22.5" customHeight="1">
      <c r="A206" s="9" t="s">
        <v>269</v>
      </c>
      <c r="B206" s="10" t="s">
        <v>79</v>
      </c>
      <c r="C206" s="11">
        <v>3232</v>
      </c>
      <c r="D206" s="12">
        <v>2023</v>
      </c>
      <c r="E206" s="9" t="s">
        <v>8</v>
      </c>
      <c r="F206" s="9" t="s">
        <v>46</v>
      </c>
    </row>
    <row r="207" spans="1:6" ht="22.5" customHeight="1">
      <c r="A207" s="9" t="s">
        <v>270</v>
      </c>
      <c r="B207" s="10" t="s">
        <v>79</v>
      </c>
      <c r="C207" s="11"/>
      <c r="D207" s="10"/>
      <c r="E207" s="10" t="s">
        <v>8</v>
      </c>
      <c r="F207" s="9" t="s">
        <v>46</v>
      </c>
    </row>
    <row r="208" spans="1:6" ht="22.5" customHeight="1">
      <c r="A208" s="9" t="s">
        <v>271</v>
      </c>
      <c r="B208" s="10" t="s">
        <v>45</v>
      </c>
      <c r="C208" s="11">
        <v>357.56799999999998</v>
      </c>
      <c r="D208" s="12">
        <v>2023</v>
      </c>
      <c r="E208" s="9" t="s">
        <v>16</v>
      </c>
      <c r="F208" s="9" t="s">
        <v>81</v>
      </c>
    </row>
    <row r="209" spans="1:6" ht="22.5" customHeight="1">
      <c r="A209" s="9" t="s">
        <v>272</v>
      </c>
      <c r="B209" s="10" t="s">
        <v>79</v>
      </c>
      <c r="C209" s="11"/>
      <c r="D209" s="10"/>
      <c r="E209" s="10" t="s">
        <v>62</v>
      </c>
      <c r="F209" s="9"/>
    </row>
    <row r="210" spans="1:6" ht="22.5" customHeight="1">
      <c r="A210" s="9" t="s">
        <v>273</v>
      </c>
      <c r="B210" s="10" t="s">
        <v>79</v>
      </c>
      <c r="C210" s="11"/>
      <c r="D210" s="10"/>
      <c r="E210" s="10" t="s">
        <v>62</v>
      </c>
      <c r="F210" s="9"/>
    </row>
    <row r="211" spans="1:6" ht="22.5" customHeight="1">
      <c r="A211" s="9" t="s">
        <v>274</v>
      </c>
      <c r="B211" s="10" t="s">
        <v>45</v>
      </c>
      <c r="C211" s="11">
        <v>2922</v>
      </c>
      <c r="D211" s="12">
        <v>2023</v>
      </c>
      <c r="E211" s="10" t="s">
        <v>9</v>
      </c>
      <c r="F211" s="10" t="s">
        <v>46</v>
      </c>
    </row>
    <row r="212" spans="1:6" ht="22.5" customHeight="1">
      <c r="A212" s="9" t="s">
        <v>275</v>
      </c>
      <c r="B212" s="10" t="s">
        <v>45</v>
      </c>
      <c r="C212" s="11">
        <v>501</v>
      </c>
      <c r="D212" s="12">
        <v>2023</v>
      </c>
      <c r="E212" s="10" t="s">
        <v>9</v>
      </c>
      <c r="F212" s="10" t="s">
        <v>46</v>
      </c>
    </row>
    <row r="213" spans="1:6" ht="22.5" customHeight="1">
      <c r="A213" s="9" t="s">
        <v>276</v>
      </c>
      <c r="B213" s="10" t="s">
        <v>79</v>
      </c>
      <c r="C213" s="11">
        <v>150.12100000000001</v>
      </c>
      <c r="D213" s="12">
        <v>2023</v>
      </c>
      <c r="E213" s="9" t="s">
        <v>16</v>
      </c>
      <c r="F213" s="9" t="s">
        <v>46</v>
      </c>
    </row>
    <row r="214" spans="1:6" ht="22.5" customHeight="1">
      <c r="A214" s="9" t="s">
        <v>277</v>
      </c>
      <c r="B214" s="10" t="s">
        <v>45</v>
      </c>
      <c r="C214" s="11">
        <v>300</v>
      </c>
      <c r="D214" s="12">
        <v>2023</v>
      </c>
      <c r="E214" s="9" t="s">
        <v>8</v>
      </c>
      <c r="F214" s="9" t="s">
        <v>48</v>
      </c>
    </row>
    <row r="215" spans="1:6" ht="22.5" customHeight="1">
      <c r="A215" s="9" t="s">
        <v>278</v>
      </c>
      <c r="B215" s="10" t="s">
        <v>45</v>
      </c>
      <c r="C215" s="11">
        <v>1660</v>
      </c>
      <c r="D215" s="12">
        <v>2024</v>
      </c>
      <c r="E215" s="10" t="s">
        <v>10</v>
      </c>
      <c r="F215" s="10" t="s">
        <v>46</v>
      </c>
    </row>
    <row r="216" spans="1:6" ht="22.5" customHeight="1">
      <c r="A216" s="9" t="s">
        <v>279</v>
      </c>
      <c r="B216" s="10" t="s">
        <v>45</v>
      </c>
      <c r="C216" s="11"/>
      <c r="D216" s="10"/>
      <c r="E216" s="10" t="s">
        <v>62</v>
      </c>
      <c r="F216" s="9"/>
    </row>
    <row r="217" spans="1:6" ht="22.5" customHeight="1">
      <c r="A217" s="9" t="s">
        <v>280</v>
      </c>
      <c r="B217" s="10" t="s">
        <v>45</v>
      </c>
      <c r="C217" s="11"/>
      <c r="D217" s="10"/>
      <c r="E217" s="10" t="s">
        <v>62</v>
      </c>
      <c r="F217" s="9"/>
    </row>
    <row r="218" spans="1:6" ht="22.5" customHeight="1">
      <c r="A218" s="9" t="s">
        <v>281</v>
      </c>
      <c r="B218" s="10" t="s">
        <v>79</v>
      </c>
      <c r="C218" s="11"/>
      <c r="D218" s="10"/>
      <c r="E218" s="10" t="s">
        <v>18</v>
      </c>
      <c r="F218" s="9" t="s">
        <v>46</v>
      </c>
    </row>
    <row r="219" spans="1:6" ht="22.5" customHeight="1">
      <c r="A219" s="9" t="s">
        <v>282</v>
      </c>
      <c r="B219" s="10" t="s">
        <v>45</v>
      </c>
      <c r="C219" s="11">
        <v>50</v>
      </c>
      <c r="D219" s="10">
        <v>2021</v>
      </c>
      <c r="E219" s="10" t="s">
        <v>17</v>
      </c>
      <c r="F219" s="9" t="s">
        <v>168</v>
      </c>
    </row>
    <row r="220" spans="1:6" ht="22.5" customHeight="1">
      <c r="A220" s="9" t="s">
        <v>283</v>
      </c>
      <c r="B220" s="10" t="s">
        <v>45</v>
      </c>
      <c r="C220" s="11">
        <v>278</v>
      </c>
      <c r="D220" s="10">
        <v>2021</v>
      </c>
      <c r="E220" s="10" t="s">
        <v>17</v>
      </c>
      <c r="F220" s="9" t="s">
        <v>202</v>
      </c>
    </row>
    <row r="221" spans="1:6" ht="22.5" customHeight="1">
      <c r="A221" s="9" t="s">
        <v>284</v>
      </c>
      <c r="B221" s="10" t="s">
        <v>79</v>
      </c>
      <c r="C221" s="11"/>
      <c r="D221" s="10"/>
      <c r="E221" s="10" t="s">
        <v>62</v>
      </c>
      <c r="F221" s="9"/>
    </row>
    <row r="222" spans="1:6" ht="22.5" customHeight="1">
      <c r="A222" s="9" t="s">
        <v>285</v>
      </c>
      <c r="B222" s="10" t="s">
        <v>45</v>
      </c>
      <c r="C222" s="11">
        <v>191.11709999999999</v>
      </c>
      <c r="D222" s="12">
        <v>2023</v>
      </c>
      <c r="E222" s="9" t="s">
        <v>16</v>
      </c>
      <c r="F222" s="9" t="s">
        <v>81</v>
      </c>
    </row>
    <row r="223" spans="1:6" ht="22.5" customHeight="1">
      <c r="A223" s="9" t="s">
        <v>286</v>
      </c>
      <c r="B223" s="10" t="s">
        <v>79</v>
      </c>
      <c r="C223" s="11"/>
      <c r="D223" s="10"/>
      <c r="E223" s="10" t="s">
        <v>189</v>
      </c>
      <c r="F223" s="9"/>
    </row>
  </sheetData>
  <dataValidations count="2">
    <dataValidation type="list" allowBlank="1" showDropDown="1" showErrorMessage="1" sqref="F2:F223" xr:uid="{00000000-0002-0000-0100-000000000000}">
      <formula1>"Vaca,Oveja,Cabra"</formula1>
    </dataValidation>
    <dataValidation type="custom" allowBlank="1" showDropDown="1" sqref="C2:D223" xr:uid="{00000000-0002-0000-0100-000001000000}">
      <formula1>AND(ISNUMBER(C2),(NOT(OR(NOT(ISERROR(DATEVALUE(C2))), AND(ISNUMBER(C2), LEFT(CELL("format", C2))="D")))))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22"/>
  <sheetViews>
    <sheetView workbookViewId="0"/>
  </sheetViews>
  <sheetFormatPr baseColWidth="10" defaultColWidth="12.5703125" defaultRowHeight="15.75" customHeight="1"/>
  <sheetData>
    <row r="1" spans="1:2">
      <c r="A1" s="9" t="s">
        <v>42</v>
      </c>
      <c r="B1" s="9" t="s">
        <v>287</v>
      </c>
    </row>
    <row r="2" spans="1:2">
      <c r="A2" s="9" t="s">
        <v>20</v>
      </c>
      <c r="B2" s="12">
        <v>6</v>
      </c>
    </row>
    <row r="3" spans="1:2">
      <c r="A3" s="9" t="s">
        <v>12</v>
      </c>
      <c r="B3" s="12">
        <v>1</v>
      </c>
    </row>
    <row r="4" spans="1:2">
      <c r="A4" s="9" t="s">
        <v>22</v>
      </c>
      <c r="B4" s="12">
        <v>1</v>
      </c>
    </row>
    <row r="5" spans="1:2">
      <c r="A5" s="9" t="s">
        <v>288</v>
      </c>
      <c r="B5" s="12">
        <v>3</v>
      </c>
    </row>
    <row r="6" spans="1:2">
      <c r="A6" s="9" t="s">
        <v>13</v>
      </c>
      <c r="B6" s="12">
        <v>4</v>
      </c>
    </row>
    <row r="7" spans="1:2">
      <c r="A7" s="9" t="s">
        <v>8</v>
      </c>
      <c r="B7" s="12">
        <v>34</v>
      </c>
    </row>
    <row r="8" spans="1:2">
      <c r="A8" s="9" t="s">
        <v>14</v>
      </c>
      <c r="B8" s="12">
        <v>8</v>
      </c>
    </row>
    <row r="9" spans="1:2">
      <c r="A9" s="9" t="s">
        <v>17</v>
      </c>
      <c r="B9" s="12">
        <v>22</v>
      </c>
    </row>
    <row r="10" spans="1:2">
      <c r="A10" s="9" t="s">
        <v>19</v>
      </c>
      <c r="B10" s="12">
        <v>1</v>
      </c>
    </row>
    <row r="11" spans="1:2">
      <c r="A11" s="9" t="s">
        <v>10</v>
      </c>
      <c r="B11" s="12">
        <v>34</v>
      </c>
    </row>
    <row r="12" spans="1:2">
      <c r="A12" s="9" t="s">
        <v>23</v>
      </c>
      <c r="B12" s="12">
        <v>3</v>
      </c>
    </row>
    <row r="13" spans="1:2">
      <c r="A13" s="9" t="s">
        <v>69</v>
      </c>
      <c r="B13" s="12">
        <v>6</v>
      </c>
    </row>
    <row r="14" spans="1:2">
      <c r="A14" s="9" t="s">
        <v>18</v>
      </c>
      <c r="B14" s="12">
        <v>5</v>
      </c>
    </row>
    <row r="15" spans="1:2">
      <c r="A15" s="9" t="s">
        <v>28</v>
      </c>
      <c r="B15" s="12">
        <v>12</v>
      </c>
    </row>
    <row r="16" spans="1:2">
      <c r="A16" s="9" t="s">
        <v>289</v>
      </c>
      <c r="B16" s="12">
        <v>2</v>
      </c>
    </row>
    <row r="17" spans="1:2">
      <c r="A17" s="9" t="s">
        <v>29</v>
      </c>
      <c r="B17" s="12">
        <v>3</v>
      </c>
    </row>
    <row r="18" spans="1:2">
      <c r="A18" s="9" t="s">
        <v>32</v>
      </c>
      <c r="B18" s="12">
        <v>6</v>
      </c>
    </row>
    <row r="19" spans="1:2">
      <c r="A19" s="9" t="s">
        <v>290</v>
      </c>
      <c r="B19" s="12">
        <v>4</v>
      </c>
    </row>
    <row r="20" spans="1:2">
      <c r="A20" s="9" t="s">
        <v>16</v>
      </c>
      <c r="B20" s="12">
        <v>24</v>
      </c>
    </row>
    <row r="21" spans="1:2">
      <c r="A21" s="9" t="s">
        <v>27</v>
      </c>
      <c r="B21" s="12">
        <v>1</v>
      </c>
    </row>
    <row r="22" spans="1:2">
      <c r="A22" s="9" t="s">
        <v>62</v>
      </c>
      <c r="B22" s="12">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1"/>
  <sheetViews>
    <sheetView workbookViewId="0">
      <pane ySplit="1" topLeftCell="A2" activePane="bottomLeft" state="frozen"/>
      <selection pane="bottomLeft" activeCell="B3" sqref="B3"/>
    </sheetView>
  </sheetViews>
  <sheetFormatPr baseColWidth="10" defaultColWidth="12.5703125" defaultRowHeight="15.75" customHeight="1"/>
  <cols>
    <col min="1" max="1" width="31.5703125" customWidth="1"/>
    <col min="5" max="7" width="16.7109375" customWidth="1"/>
  </cols>
  <sheetData>
    <row r="1" spans="1:8" ht="22.5" customHeight="1">
      <c r="A1" s="14" t="s">
        <v>38</v>
      </c>
      <c r="B1" s="15" t="s">
        <v>39</v>
      </c>
      <c r="C1" s="14" t="s">
        <v>40</v>
      </c>
      <c r="D1" s="8" t="s">
        <v>41</v>
      </c>
      <c r="E1" s="15" t="s">
        <v>42</v>
      </c>
      <c r="F1" s="15" t="s">
        <v>291</v>
      </c>
      <c r="G1" s="16" t="s">
        <v>292</v>
      </c>
      <c r="H1" s="16" t="s">
        <v>293</v>
      </c>
    </row>
    <row r="2" spans="1:8" ht="22.5" customHeight="1">
      <c r="A2" s="17" t="s">
        <v>49</v>
      </c>
      <c r="B2" s="18" t="s">
        <v>45</v>
      </c>
      <c r="C2" s="19">
        <v>108.69799999999999</v>
      </c>
      <c r="D2" s="10">
        <v>2023</v>
      </c>
      <c r="E2" s="18" t="s">
        <v>16</v>
      </c>
      <c r="F2" s="18" t="s">
        <v>15</v>
      </c>
      <c r="G2" s="19">
        <v>7</v>
      </c>
      <c r="H2" s="19">
        <v>108698</v>
      </c>
    </row>
    <row r="3" spans="1:8" ht="22.5" customHeight="1">
      <c r="A3" s="17" t="s">
        <v>57</v>
      </c>
      <c r="B3" s="18" t="s">
        <v>45</v>
      </c>
      <c r="C3" s="19">
        <v>4029.32215</v>
      </c>
      <c r="D3" s="10">
        <v>2023</v>
      </c>
      <c r="E3" s="18" t="s">
        <v>16</v>
      </c>
      <c r="F3" s="18" t="s">
        <v>294</v>
      </c>
      <c r="G3" s="19">
        <v>16</v>
      </c>
      <c r="H3" s="19">
        <v>4029322.15</v>
      </c>
    </row>
    <row r="4" spans="1:8" ht="22.5" customHeight="1">
      <c r="A4" s="17" t="s">
        <v>87</v>
      </c>
      <c r="B4" s="18" t="s">
        <v>45</v>
      </c>
      <c r="C4" s="19">
        <v>361.72199999999998</v>
      </c>
      <c r="D4" s="10">
        <v>2023</v>
      </c>
      <c r="E4" s="18" t="s">
        <v>16</v>
      </c>
      <c r="F4" s="18" t="s">
        <v>15</v>
      </c>
      <c r="G4" s="19">
        <v>21</v>
      </c>
      <c r="H4" s="19">
        <v>361722</v>
      </c>
    </row>
    <row r="5" spans="1:8" ht="22.5" customHeight="1">
      <c r="A5" s="17" t="s">
        <v>97</v>
      </c>
      <c r="B5" s="18" t="s">
        <v>45</v>
      </c>
      <c r="C5" s="19">
        <v>58.102599999999995</v>
      </c>
      <c r="D5" s="10">
        <v>2023</v>
      </c>
      <c r="E5" s="18" t="s">
        <v>16</v>
      </c>
      <c r="F5" s="18" t="s">
        <v>294</v>
      </c>
      <c r="G5" s="19">
        <v>3</v>
      </c>
      <c r="H5" s="19">
        <v>58102.6</v>
      </c>
    </row>
    <row r="6" spans="1:8" ht="22.5" customHeight="1">
      <c r="A6" s="17" t="s">
        <v>125</v>
      </c>
      <c r="B6" s="18" t="s">
        <v>45</v>
      </c>
      <c r="C6" s="19">
        <v>177.32599999999999</v>
      </c>
      <c r="D6" s="10">
        <v>2023</v>
      </c>
      <c r="E6" s="18" t="s">
        <v>16</v>
      </c>
      <c r="F6" s="18" t="s">
        <v>15</v>
      </c>
      <c r="G6" s="19">
        <v>22</v>
      </c>
      <c r="H6" s="19">
        <v>177326</v>
      </c>
    </row>
    <row r="7" spans="1:8" ht="22.5" customHeight="1">
      <c r="A7" s="17" t="s">
        <v>140</v>
      </c>
      <c r="B7" s="18" t="s">
        <v>45</v>
      </c>
      <c r="C7" s="19">
        <v>1342.7159999999999</v>
      </c>
      <c r="D7" s="10">
        <v>2023</v>
      </c>
      <c r="E7" s="18" t="s">
        <v>16</v>
      </c>
      <c r="F7" s="18" t="s">
        <v>295</v>
      </c>
      <c r="G7" s="19">
        <v>109</v>
      </c>
      <c r="H7" s="19">
        <v>1342716</v>
      </c>
    </row>
    <row r="8" spans="1:8" ht="22.5" customHeight="1">
      <c r="A8" s="17" t="s">
        <v>164</v>
      </c>
      <c r="B8" s="18" t="s">
        <v>45</v>
      </c>
      <c r="C8" s="19">
        <v>3703.1320000000001</v>
      </c>
      <c r="D8" s="10">
        <v>2023</v>
      </c>
      <c r="E8" s="18" t="s">
        <v>16</v>
      </c>
      <c r="F8" s="18" t="s">
        <v>296</v>
      </c>
      <c r="G8" s="19">
        <v>50</v>
      </c>
      <c r="H8" s="19">
        <v>3703132</v>
      </c>
    </row>
    <row r="9" spans="1:8" ht="22.5" customHeight="1">
      <c r="A9" s="17" t="s">
        <v>181</v>
      </c>
      <c r="B9" s="18" t="s">
        <v>45</v>
      </c>
      <c r="C9" s="19">
        <v>60.320320000000002</v>
      </c>
      <c r="D9" s="10">
        <v>2023</v>
      </c>
      <c r="E9" s="18" t="s">
        <v>16</v>
      </c>
      <c r="F9" s="18" t="s">
        <v>297</v>
      </c>
      <c r="G9" s="19">
        <v>5</v>
      </c>
      <c r="H9" s="19">
        <v>60320.32</v>
      </c>
    </row>
    <row r="10" spans="1:8" ht="22.5" customHeight="1">
      <c r="A10" s="17" t="s">
        <v>204</v>
      </c>
      <c r="B10" s="18" t="s">
        <v>45</v>
      </c>
      <c r="C10" s="19">
        <v>23.6006</v>
      </c>
      <c r="D10" s="10">
        <v>2023</v>
      </c>
      <c r="E10" s="18" t="s">
        <v>16</v>
      </c>
      <c r="F10" s="18" t="s">
        <v>297</v>
      </c>
      <c r="G10" s="19">
        <v>4</v>
      </c>
      <c r="H10" s="19">
        <v>23600.6</v>
      </c>
    </row>
    <row r="11" spans="1:8" ht="22.5" customHeight="1">
      <c r="A11" s="17" t="s">
        <v>298</v>
      </c>
      <c r="B11" s="18" t="s">
        <v>45</v>
      </c>
      <c r="C11" s="19">
        <v>40.08475</v>
      </c>
      <c r="D11" s="10">
        <v>2023</v>
      </c>
      <c r="E11" s="18" t="s">
        <v>16</v>
      </c>
      <c r="F11" s="18" t="s">
        <v>299</v>
      </c>
      <c r="G11" s="19">
        <v>4</v>
      </c>
      <c r="H11" s="19">
        <v>40084.75</v>
      </c>
    </row>
    <row r="12" spans="1:8" ht="22.5" customHeight="1">
      <c r="A12" s="17" t="s">
        <v>300</v>
      </c>
      <c r="B12" s="18" t="s">
        <v>45</v>
      </c>
      <c r="C12" s="19">
        <v>9.6679999999999993</v>
      </c>
      <c r="D12" s="10">
        <v>2023</v>
      </c>
      <c r="E12" s="18" t="s">
        <v>16</v>
      </c>
      <c r="F12" s="18" t="s">
        <v>15</v>
      </c>
      <c r="G12" s="19">
        <v>3</v>
      </c>
      <c r="H12" s="19">
        <v>9668</v>
      </c>
    </row>
    <row r="13" spans="1:8" ht="22.5" customHeight="1">
      <c r="A13" s="17" t="s">
        <v>301</v>
      </c>
      <c r="B13" s="18" t="s">
        <v>45</v>
      </c>
      <c r="C13" s="19">
        <v>1493.05</v>
      </c>
      <c r="D13" s="10">
        <v>2023</v>
      </c>
      <c r="E13" s="18" t="s">
        <v>16</v>
      </c>
      <c r="F13" s="18" t="s">
        <v>302</v>
      </c>
      <c r="G13" s="19">
        <v>26</v>
      </c>
      <c r="H13" s="19">
        <v>1493050</v>
      </c>
    </row>
    <row r="14" spans="1:8" ht="22.5" customHeight="1">
      <c r="A14" s="17" t="s">
        <v>303</v>
      </c>
      <c r="B14" s="18" t="s">
        <v>45</v>
      </c>
      <c r="C14" s="19">
        <v>24.859189999999998</v>
      </c>
      <c r="D14" s="10">
        <v>2023</v>
      </c>
      <c r="E14" s="18" t="s">
        <v>16</v>
      </c>
      <c r="F14" s="18" t="s">
        <v>304</v>
      </c>
      <c r="G14" s="19">
        <v>6</v>
      </c>
      <c r="H14" s="19">
        <v>24859.19</v>
      </c>
    </row>
    <row r="15" spans="1:8" ht="22.5" customHeight="1">
      <c r="A15" s="17" t="s">
        <v>305</v>
      </c>
      <c r="B15" s="18" t="s">
        <v>45</v>
      </c>
      <c r="C15" s="19">
        <v>17.099</v>
      </c>
      <c r="D15" s="10">
        <v>2023</v>
      </c>
      <c r="E15" s="18" t="s">
        <v>16</v>
      </c>
      <c r="F15" s="18" t="s">
        <v>306</v>
      </c>
      <c r="G15" s="19">
        <v>4</v>
      </c>
      <c r="H15" s="19">
        <v>17099</v>
      </c>
    </row>
    <row r="16" spans="1:8" ht="22.5" customHeight="1">
      <c r="A16" s="17" t="s">
        <v>307</v>
      </c>
      <c r="B16" s="18" t="s">
        <v>45</v>
      </c>
      <c r="C16" s="19">
        <v>360.34800000000001</v>
      </c>
      <c r="D16" s="10">
        <v>2023</v>
      </c>
      <c r="E16" s="18" t="s">
        <v>16</v>
      </c>
      <c r="F16" s="18" t="s">
        <v>308</v>
      </c>
      <c r="G16" s="19">
        <v>1</v>
      </c>
      <c r="H16" s="19">
        <v>360348</v>
      </c>
    </row>
    <row r="17" spans="1:8" ht="22.5" customHeight="1">
      <c r="A17" s="17" t="s">
        <v>309</v>
      </c>
      <c r="B17" s="18" t="s">
        <v>45</v>
      </c>
      <c r="C17" s="19">
        <v>19.593</v>
      </c>
      <c r="D17" s="10">
        <v>2023</v>
      </c>
      <c r="E17" s="18" t="s">
        <v>16</v>
      </c>
      <c r="F17" s="18" t="s">
        <v>304</v>
      </c>
      <c r="G17" s="19">
        <v>6</v>
      </c>
      <c r="H17" s="19">
        <v>19593</v>
      </c>
    </row>
    <row r="18" spans="1:8" ht="22.5" customHeight="1">
      <c r="A18" s="17" t="s">
        <v>310</v>
      </c>
      <c r="B18" s="18" t="s">
        <v>45</v>
      </c>
      <c r="C18" s="19">
        <v>554.77300000000002</v>
      </c>
      <c r="D18" s="10">
        <v>2023</v>
      </c>
      <c r="E18" s="18" t="s">
        <v>16</v>
      </c>
      <c r="F18" s="18" t="s">
        <v>178</v>
      </c>
      <c r="G18" s="19">
        <v>8</v>
      </c>
      <c r="H18" s="19">
        <v>554773</v>
      </c>
    </row>
    <row r="19" spans="1:8" ht="22.5" customHeight="1">
      <c r="A19" s="17" t="s">
        <v>311</v>
      </c>
      <c r="B19" s="18" t="s">
        <v>45</v>
      </c>
      <c r="C19" s="19">
        <v>559.96699999999998</v>
      </c>
      <c r="D19" s="10">
        <v>2023</v>
      </c>
      <c r="E19" s="18" t="s">
        <v>16</v>
      </c>
      <c r="F19" s="18" t="s">
        <v>178</v>
      </c>
      <c r="G19" s="19">
        <v>7</v>
      </c>
      <c r="H19" s="19">
        <v>559967</v>
      </c>
    </row>
    <row r="20" spans="1:8" ht="22.5" customHeight="1">
      <c r="A20" s="17" t="s">
        <v>312</v>
      </c>
      <c r="B20" s="18" t="s">
        <v>45</v>
      </c>
      <c r="C20" s="19">
        <v>150.12100000000001</v>
      </c>
      <c r="D20" s="10">
        <v>2023</v>
      </c>
      <c r="E20" s="18" t="s">
        <v>16</v>
      </c>
      <c r="F20" s="18" t="s">
        <v>302</v>
      </c>
      <c r="G20" s="19">
        <v>1</v>
      </c>
      <c r="H20" s="19">
        <v>150121</v>
      </c>
    </row>
    <row r="21" spans="1:8" ht="22.5" customHeight="1">
      <c r="A21" s="17" t="s">
        <v>313</v>
      </c>
      <c r="B21" s="18" t="s">
        <v>45</v>
      </c>
      <c r="C21" s="19">
        <v>72.875</v>
      </c>
      <c r="D21" s="10">
        <v>2023</v>
      </c>
      <c r="E21" s="18" t="s">
        <v>16</v>
      </c>
      <c r="F21" s="18" t="s">
        <v>304</v>
      </c>
      <c r="G21" s="19">
        <v>4</v>
      </c>
      <c r="H21" s="19">
        <v>72875</v>
      </c>
    </row>
    <row r="22" spans="1:8" ht="22.5" customHeight="1">
      <c r="A22" s="17" t="s">
        <v>314</v>
      </c>
      <c r="B22" s="18" t="s">
        <v>45</v>
      </c>
      <c r="C22" s="19">
        <v>16.962</v>
      </c>
      <c r="D22" s="10">
        <v>2023</v>
      </c>
      <c r="E22" s="18" t="s">
        <v>16</v>
      </c>
      <c r="F22" s="18" t="s">
        <v>15</v>
      </c>
      <c r="G22" s="19">
        <v>2</v>
      </c>
      <c r="H22" s="19">
        <v>16962</v>
      </c>
    </row>
    <row r="23" spans="1:8" ht="22.5" customHeight="1">
      <c r="A23" s="17" t="s">
        <v>315</v>
      </c>
      <c r="B23" s="18" t="s">
        <v>45</v>
      </c>
      <c r="C23" s="19">
        <v>547.7165</v>
      </c>
      <c r="D23" s="10">
        <v>2023</v>
      </c>
      <c r="E23" s="18" t="s">
        <v>16</v>
      </c>
      <c r="F23" s="18" t="s">
        <v>306</v>
      </c>
      <c r="G23" s="19">
        <v>11</v>
      </c>
      <c r="H23" s="19">
        <v>547716.5</v>
      </c>
    </row>
    <row r="24" spans="1:8" ht="22.5" customHeight="1">
      <c r="A24" s="17" t="s">
        <v>316</v>
      </c>
      <c r="B24" s="18" t="s">
        <v>45</v>
      </c>
      <c r="C24" s="19">
        <v>17000.208999999999</v>
      </c>
      <c r="D24" s="10">
        <v>2023</v>
      </c>
      <c r="E24" s="18" t="s">
        <v>16</v>
      </c>
      <c r="F24" s="18" t="s">
        <v>317</v>
      </c>
      <c r="G24" s="19">
        <v>74</v>
      </c>
      <c r="H24" s="19">
        <v>17000209</v>
      </c>
    </row>
    <row r="25" spans="1:8" ht="22.5" customHeight="1">
      <c r="A25" s="17" t="s">
        <v>318</v>
      </c>
      <c r="B25" s="18" t="s">
        <v>45</v>
      </c>
      <c r="C25" s="19">
        <v>50.57291</v>
      </c>
      <c r="D25" s="10">
        <v>2023</v>
      </c>
      <c r="E25" s="18" t="s">
        <v>16</v>
      </c>
      <c r="F25" s="18" t="s">
        <v>306</v>
      </c>
      <c r="G25" s="19">
        <v>13</v>
      </c>
      <c r="H25" s="19">
        <v>50572.91</v>
      </c>
    </row>
    <row r="26" spans="1:8" ht="22.5" customHeight="1">
      <c r="A26" s="17" t="s">
        <v>319</v>
      </c>
      <c r="B26" s="18" t="s">
        <v>45</v>
      </c>
      <c r="C26" s="19">
        <v>1827.9069999999999</v>
      </c>
      <c r="D26" s="10">
        <v>2023</v>
      </c>
      <c r="E26" s="18" t="s">
        <v>16</v>
      </c>
      <c r="F26" s="18" t="s">
        <v>294</v>
      </c>
      <c r="G26" s="19">
        <v>24</v>
      </c>
      <c r="H26" s="19">
        <v>1827907</v>
      </c>
    </row>
    <row r="27" spans="1:8" ht="22.5" customHeight="1">
      <c r="A27" s="17" t="s">
        <v>320</v>
      </c>
      <c r="B27" s="18" t="s">
        <v>45</v>
      </c>
      <c r="C27" s="19">
        <v>191.11709999999999</v>
      </c>
      <c r="D27" s="10">
        <v>2023</v>
      </c>
      <c r="E27" s="18" t="s">
        <v>16</v>
      </c>
      <c r="F27" s="18" t="s">
        <v>302</v>
      </c>
      <c r="G27" s="19">
        <v>8</v>
      </c>
      <c r="H27" s="19">
        <v>191117.1</v>
      </c>
    </row>
    <row r="28" spans="1:8" ht="22.5" customHeight="1">
      <c r="A28" s="17" t="s">
        <v>224</v>
      </c>
      <c r="B28" s="18" t="s">
        <v>45</v>
      </c>
      <c r="C28" s="19">
        <v>2.6589999999999998</v>
      </c>
      <c r="D28" s="10">
        <v>2023</v>
      </c>
      <c r="E28" s="18" t="s">
        <v>16</v>
      </c>
      <c r="F28" s="18" t="s">
        <v>297</v>
      </c>
      <c r="G28" s="19">
        <v>5</v>
      </c>
      <c r="H28" s="19">
        <v>2659</v>
      </c>
    </row>
    <row r="29" spans="1:8" ht="22.5" customHeight="1">
      <c r="A29" s="17" t="s">
        <v>232</v>
      </c>
      <c r="B29" s="18" t="s">
        <v>45</v>
      </c>
      <c r="C29" s="19">
        <v>302.47699999999998</v>
      </c>
      <c r="D29" s="10">
        <v>2023</v>
      </c>
      <c r="E29" s="18" t="s">
        <v>16</v>
      </c>
      <c r="F29" s="18" t="s">
        <v>321</v>
      </c>
      <c r="G29" s="19">
        <v>5</v>
      </c>
      <c r="H29" s="19">
        <v>302477</v>
      </c>
    </row>
    <row r="30" spans="1:8" ht="22.5" customHeight="1">
      <c r="A30" s="17" t="s">
        <v>239</v>
      </c>
      <c r="B30" s="18" t="s">
        <v>45</v>
      </c>
      <c r="C30" s="19">
        <v>580.35906999999997</v>
      </c>
      <c r="D30" s="10">
        <v>2023</v>
      </c>
      <c r="E30" s="18" t="s">
        <v>16</v>
      </c>
      <c r="F30" s="18" t="s">
        <v>294</v>
      </c>
      <c r="G30" s="19">
        <v>9</v>
      </c>
      <c r="H30" s="19">
        <v>580359.06999999995</v>
      </c>
    </row>
    <row r="31" spans="1:8" ht="22.5" customHeight="1">
      <c r="A31" s="17" t="s">
        <v>271</v>
      </c>
      <c r="B31" s="18" t="s">
        <v>45</v>
      </c>
      <c r="C31" s="19">
        <v>357.56799999999998</v>
      </c>
      <c r="D31" s="10">
        <v>2023</v>
      </c>
      <c r="E31" s="18" t="s">
        <v>16</v>
      </c>
      <c r="F31" s="18" t="s">
        <v>304</v>
      </c>
      <c r="G31" s="19">
        <v>6</v>
      </c>
      <c r="H31" s="19">
        <v>357568</v>
      </c>
    </row>
  </sheetData>
  <dataValidations count="1">
    <dataValidation type="custom" allowBlank="1" showDropDown="1" sqref="G2:H31" xr:uid="{00000000-0002-0000-0300-000000000000}">
      <formula1>AND(ISNUMBER(G2),(NOT(OR(NOT(ISERROR(DATEVALUE(G2))), AND(ISNUMBER(G2), LEFT(CELL("format", G2))="D")))))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6"/>
  <sheetViews>
    <sheetView workbookViewId="0"/>
  </sheetViews>
  <sheetFormatPr baseColWidth="10" defaultColWidth="12.5703125" defaultRowHeight="15.75" customHeight="1"/>
  <sheetData>
    <row r="1" spans="1:2">
      <c r="A1" s="2" t="s">
        <v>45</v>
      </c>
      <c r="B1" s="2" t="s">
        <v>322</v>
      </c>
    </row>
    <row r="2" spans="1:2">
      <c r="A2" s="2" t="s">
        <v>323</v>
      </c>
      <c r="B2" s="2">
        <v>20</v>
      </c>
    </row>
    <row r="3" spans="1:2">
      <c r="A3" s="2" t="s">
        <v>87</v>
      </c>
      <c r="B3" s="2">
        <v>22</v>
      </c>
    </row>
    <row r="4" spans="1:2">
      <c r="A4" s="2" t="s">
        <v>324</v>
      </c>
      <c r="B4" s="2">
        <v>9</v>
      </c>
    </row>
    <row r="5" spans="1:2">
      <c r="A5" s="2" t="s">
        <v>95</v>
      </c>
      <c r="B5" s="2">
        <v>3</v>
      </c>
    </row>
    <row r="6" spans="1:2">
      <c r="A6" s="2" t="s">
        <v>325</v>
      </c>
      <c r="B6" s="2">
        <v>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7"/>
  <sheetViews>
    <sheetView workbookViewId="0"/>
  </sheetViews>
  <sheetFormatPr baseColWidth="10" defaultColWidth="12.5703125" defaultRowHeight="15.75" customHeight="1"/>
  <cols>
    <col min="1" max="1" width="8.42578125" customWidth="1"/>
  </cols>
  <sheetData>
    <row r="1" spans="1:8">
      <c r="A1" s="17" t="s">
        <v>326</v>
      </c>
      <c r="B1" s="20" t="s">
        <v>327</v>
      </c>
    </row>
    <row r="2" spans="1:8">
      <c r="A2" s="19">
        <v>2009</v>
      </c>
      <c r="B2" s="21">
        <v>45227</v>
      </c>
      <c r="C2" s="3"/>
      <c r="D2" s="3"/>
      <c r="E2" s="3"/>
      <c r="F2" s="3"/>
      <c r="G2" s="3"/>
      <c r="H2" s="3"/>
    </row>
    <row r="3" spans="1:8">
      <c r="A3" s="19">
        <v>2010</v>
      </c>
      <c r="B3" s="21">
        <v>33395</v>
      </c>
      <c r="C3" s="3"/>
      <c r="D3" s="3"/>
      <c r="E3" s="3"/>
      <c r="F3" s="3"/>
      <c r="G3" s="3"/>
      <c r="H3" s="3"/>
    </row>
    <row r="4" spans="1:8">
      <c r="A4" s="19">
        <v>2011</v>
      </c>
      <c r="B4" s="21">
        <v>40889</v>
      </c>
      <c r="C4" s="3"/>
      <c r="D4" s="3"/>
      <c r="E4" s="3"/>
      <c r="F4" s="3"/>
      <c r="G4" s="3"/>
      <c r="H4" s="3"/>
    </row>
    <row r="5" spans="1:8">
      <c r="A5" s="19">
        <v>2012</v>
      </c>
      <c r="B5" s="21">
        <v>37733</v>
      </c>
      <c r="C5" s="3"/>
      <c r="D5" s="3"/>
      <c r="E5" s="3"/>
      <c r="F5" s="3"/>
      <c r="G5" s="3"/>
      <c r="H5" s="3"/>
    </row>
    <row r="6" spans="1:8">
      <c r="A6" s="19">
        <v>2013</v>
      </c>
      <c r="B6" s="21">
        <v>40177</v>
      </c>
      <c r="C6" s="3"/>
      <c r="D6" s="3"/>
      <c r="E6" s="3"/>
      <c r="F6" s="3"/>
      <c r="G6" s="3"/>
      <c r="H6" s="3"/>
    </row>
    <row r="7" spans="1:8">
      <c r="A7" s="19">
        <v>2014</v>
      </c>
      <c r="B7" s="21">
        <v>41187</v>
      </c>
      <c r="C7" s="3"/>
      <c r="D7" s="3"/>
      <c r="E7" s="3"/>
      <c r="F7" s="3"/>
      <c r="G7" s="3"/>
      <c r="H7" s="3"/>
    </row>
    <row r="8" spans="1:8">
      <c r="A8" s="19">
        <v>2015</v>
      </c>
      <c r="B8" s="21">
        <v>39983</v>
      </c>
      <c r="C8" s="3"/>
      <c r="D8" s="3"/>
      <c r="E8" s="3"/>
      <c r="F8" s="3"/>
      <c r="G8" s="3"/>
      <c r="H8" s="3"/>
    </row>
    <row r="9" spans="1:8">
      <c r="A9" s="19">
        <v>2016</v>
      </c>
      <c r="B9" s="19">
        <v>37685</v>
      </c>
    </row>
    <row r="10" spans="1:8">
      <c r="A10" s="19">
        <v>2017</v>
      </c>
      <c r="B10" s="19">
        <v>32095</v>
      </c>
    </row>
    <row r="11" spans="1:8">
      <c r="A11" s="19">
        <v>2018</v>
      </c>
      <c r="B11" s="19">
        <v>36542</v>
      </c>
    </row>
    <row r="12" spans="1:8">
      <c r="A12" s="19">
        <v>2019</v>
      </c>
      <c r="B12" s="19">
        <v>36582</v>
      </c>
    </row>
    <row r="13" spans="1:8">
      <c r="A13" s="19">
        <v>2020</v>
      </c>
      <c r="B13" s="19">
        <v>37085</v>
      </c>
    </row>
    <row r="14" spans="1:8">
      <c r="A14" s="19">
        <v>2021</v>
      </c>
      <c r="B14" s="19">
        <v>38129</v>
      </c>
    </row>
    <row r="15" spans="1:8">
      <c r="A15" s="19">
        <v>2022</v>
      </c>
      <c r="B15" s="19">
        <v>33502</v>
      </c>
    </row>
    <row r="16" spans="1:8">
      <c r="A16" s="19">
        <v>2023</v>
      </c>
      <c r="B16" s="19">
        <v>25242</v>
      </c>
    </row>
    <row r="17" spans="1:2">
      <c r="A17" s="19">
        <v>2024</v>
      </c>
      <c r="B17" s="19">
        <v>25168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8"/>
  <sheetViews>
    <sheetView workbookViewId="0"/>
  </sheetViews>
  <sheetFormatPr baseColWidth="10" defaultColWidth="12.5703125" defaultRowHeight="15.75" customHeight="1"/>
  <sheetData>
    <row r="1" spans="1:8" ht="15.75" customHeight="1">
      <c r="A1" s="22" t="s">
        <v>328</v>
      </c>
      <c r="B1" s="23" t="s">
        <v>329</v>
      </c>
      <c r="C1" s="23" t="s">
        <v>330</v>
      </c>
      <c r="D1" s="23" t="s">
        <v>331</v>
      </c>
      <c r="E1" s="23" t="s">
        <v>332</v>
      </c>
      <c r="F1" s="23" t="s">
        <v>333</v>
      </c>
      <c r="G1" s="24" t="s">
        <v>40</v>
      </c>
      <c r="H1" s="25" t="s">
        <v>334</v>
      </c>
    </row>
    <row r="2" spans="1:8">
      <c r="A2" s="26" t="s">
        <v>335</v>
      </c>
      <c r="B2" s="27" t="s">
        <v>336</v>
      </c>
      <c r="C2" s="28">
        <v>87599</v>
      </c>
      <c r="D2" s="28">
        <v>8663175</v>
      </c>
      <c r="E2" s="28">
        <v>199952</v>
      </c>
      <c r="F2" s="29">
        <v>141</v>
      </c>
      <c r="G2" s="30">
        <v>65000</v>
      </c>
      <c r="H2" s="29">
        <v>0.12</v>
      </c>
    </row>
    <row r="3" spans="1:8">
      <c r="A3" s="31" t="s">
        <v>337</v>
      </c>
      <c r="B3" s="32" t="s">
        <v>338</v>
      </c>
      <c r="C3" s="33">
        <v>47720</v>
      </c>
      <c r="D3" s="33">
        <v>1352630</v>
      </c>
      <c r="E3" s="33">
        <v>46674</v>
      </c>
      <c r="F3" s="34">
        <v>37</v>
      </c>
      <c r="G3" s="33">
        <v>4200</v>
      </c>
      <c r="H3" s="34">
        <v>0.1</v>
      </c>
    </row>
    <row r="4" spans="1:8">
      <c r="A4" s="26" t="s">
        <v>339</v>
      </c>
      <c r="B4" s="27" t="s">
        <v>340</v>
      </c>
      <c r="C4" s="28">
        <v>10604</v>
      </c>
      <c r="D4" s="28">
        <v>1014112</v>
      </c>
      <c r="E4" s="28">
        <v>28326</v>
      </c>
      <c r="F4" s="29">
        <v>96</v>
      </c>
      <c r="G4" s="28">
        <v>25000</v>
      </c>
      <c r="H4" s="29">
        <v>0.15</v>
      </c>
    </row>
    <row r="5" spans="1:8">
      <c r="A5" s="31" t="s">
        <v>341</v>
      </c>
      <c r="B5" s="32" t="s">
        <v>342</v>
      </c>
      <c r="C5" s="33">
        <v>4992</v>
      </c>
      <c r="D5" s="33">
        <v>1244394</v>
      </c>
      <c r="E5" s="33">
        <v>42084</v>
      </c>
      <c r="F5" s="34">
        <v>64</v>
      </c>
      <c r="G5" s="33">
        <v>2600</v>
      </c>
      <c r="H5" s="34">
        <v>0.1</v>
      </c>
    </row>
    <row r="6" spans="1:8">
      <c r="A6" s="26" t="s">
        <v>306</v>
      </c>
      <c r="B6" s="27" t="s">
        <v>343</v>
      </c>
      <c r="C6" s="28">
        <v>7447</v>
      </c>
      <c r="D6" s="28">
        <v>2258219</v>
      </c>
      <c r="E6" s="28">
        <v>54194</v>
      </c>
      <c r="F6" s="29">
        <v>247</v>
      </c>
      <c r="G6" s="35">
        <v>9600</v>
      </c>
      <c r="H6" s="29">
        <v>0.25</v>
      </c>
    </row>
    <row r="7" spans="1:8">
      <c r="A7" s="31" t="s">
        <v>297</v>
      </c>
      <c r="B7" s="32" t="s">
        <v>344</v>
      </c>
      <c r="C7" s="33">
        <v>5321</v>
      </c>
      <c r="D7" s="33">
        <v>593386</v>
      </c>
      <c r="E7" s="33">
        <v>16777</v>
      </c>
      <c r="F7" s="34">
        <v>49</v>
      </c>
      <c r="G7" s="33">
        <v>13500</v>
      </c>
      <c r="H7" s="34">
        <v>0.15</v>
      </c>
    </row>
    <row r="8" spans="1:8">
      <c r="A8" s="26" t="s">
        <v>345</v>
      </c>
      <c r="B8" s="27" t="s">
        <v>346</v>
      </c>
      <c r="C8" s="28">
        <v>79461</v>
      </c>
      <c r="D8" s="28">
        <v>2120261</v>
      </c>
      <c r="E8" s="28">
        <v>53929</v>
      </c>
      <c r="F8" s="29">
        <v>167</v>
      </c>
      <c r="G8" s="35">
        <v>80000</v>
      </c>
      <c r="H8" s="29">
        <v>0.35</v>
      </c>
    </row>
    <row r="9" spans="1:8">
      <c r="A9" s="31" t="s">
        <v>347</v>
      </c>
      <c r="B9" s="32" t="s">
        <v>348</v>
      </c>
      <c r="C9" s="33">
        <v>94224</v>
      </c>
      <c r="D9" s="33">
        <v>2397889</v>
      </c>
      <c r="E9" s="33">
        <v>70876</v>
      </c>
      <c r="F9" s="34">
        <v>188</v>
      </c>
      <c r="G9" s="36">
        <v>105000</v>
      </c>
      <c r="H9" s="34">
        <v>0.3</v>
      </c>
    </row>
    <row r="10" spans="1:8">
      <c r="A10" s="26" t="s">
        <v>308</v>
      </c>
      <c r="B10" s="27" t="s">
        <v>349</v>
      </c>
      <c r="C10" s="28">
        <v>32113</v>
      </c>
      <c r="D10" s="28">
        <v>8119550</v>
      </c>
      <c r="E10" s="28">
        <v>281845</v>
      </c>
      <c r="F10" s="29">
        <v>177</v>
      </c>
      <c r="G10" s="28">
        <v>24000</v>
      </c>
      <c r="H10" s="29">
        <v>0.04</v>
      </c>
    </row>
    <row r="11" spans="1:8">
      <c r="A11" s="31" t="s">
        <v>350</v>
      </c>
      <c r="B11" s="32" t="s">
        <v>351</v>
      </c>
      <c r="C11" s="33">
        <v>8028</v>
      </c>
      <c r="D11" s="33">
        <v>7125583</v>
      </c>
      <c r="E11" s="33">
        <v>293069</v>
      </c>
      <c r="F11" s="34">
        <v>28</v>
      </c>
      <c r="G11" s="33">
        <v>1600</v>
      </c>
      <c r="H11" s="34">
        <v>0.01</v>
      </c>
    </row>
    <row r="12" spans="1:8">
      <c r="A12" s="26" t="s">
        <v>352</v>
      </c>
      <c r="B12" s="27" t="s">
        <v>353</v>
      </c>
      <c r="C12" s="28">
        <v>23255</v>
      </c>
      <c r="D12" s="28">
        <v>5414296</v>
      </c>
      <c r="E12" s="28">
        <v>139420</v>
      </c>
      <c r="F12" s="29">
        <v>33</v>
      </c>
      <c r="G12" s="28">
        <v>16000</v>
      </c>
      <c r="H12" s="29">
        <v>0.05</v>
      </c>
    </row>
    <row r="13" spans="1:8">
      <c r="A13" s="31" t="s">
        <v>304</v>
      </c>
      <c r="B13" s="32" t="s">
        <v>354</v>
      </c>
      <c r="C13" s="33">
        <v>41634</v>
      </c>
      <c r="D13" s="33">
        <v>1052998</v>
      </c>
      <c r="E13" s="33">
        <v>24870</v>
      </c>
      <c r="F13" s="34">
        <v>101</v>
      </c>
      <c r="G13" s="33">
        <v>35000</v>
      </c>
      <c r="H13" s="34">
        <v>0.15</v>
      </c>
    </row>
    <row r="14" spans="1:8">
      <c r="A14" s="26" t="s">
        <v>294</v>
      </c>
      <c r="B14" s="27" t="s">
        <v>355</v>
      </c>
      <c r="C14" s="28">
        <v>29575</v>
      </c>
      <c r="D14" s="28">
        <v>2715424</v>
      </c>
      <c r="E14" s="28">
        <v>77356</v>
      </c>
      <c r="F14" s="29">
        <v>94</v>
      </c>
      <c r="G14" s="35">
        <v>40000</v>
      </c>
      <c r="H14" s="29">
        <v>0.2</v>
      </c>
    </row>
    <row r="15" spans="1:8">
      <c r="A15" s="31" t="s">
        <v>356</v>
      </c>
      <c r="B15" s="32" t="s">
        <v>357</v>
      </c>
      <c r="C15" s="33">
        <v>5045</v>
      </c>
      <c r="D15" s="33">
        <v>327115</v>
      </c>
      <c r="E15" s="33">
        <v>10618</v>
      </c>
      <c r="F15" s="34">
        <v>9</v>
      </c>
      <c r="G15" s="36">
        <v>2500</v>
      </c>
      <c r="H15" s="34">
        <v>0.08</v>
      </c>
    </row>
    <row r="16" spans="1:8">
      <c r="A16" s="26" t="s">
        <v>358</v>
      </c>
      <c r="B16" s="27" t="s">
        <v>359</v>
      </c>
      <c r="C16" s="28">
        <v>11314</v>
      </c>
      <c r="D16" s="28">
        <v>1584801</v>
      </c>
      <c r="E16" s="28">
        <v>40386</v>
      </c>
      <c r="F16" s="29">
        <v>19</v>
      </c>
      <c r="G16" s="28">
        <v>2500</v>
      </c>
      <c r="H16" s="29">
        <v>0.08</v>
      </c>
    </row>
    <row r="17" spans="1:8">
      <c r="A17" s="31" t="s">
        <v>360</v>
      </c>
      <c r="B17" s="32" t="s">
        <v>361</v>
      </c>
      <c r="C17" s="33">
        <v>10391</v>
      </c>
      <c r="D17" s="33">
        <v>683525</v>
      </c>
      <c r="E17" s="33">
        <v>25041</v>
      </c>
      <c r="F17" s="34">
        <v>72</v>
      </c>
      <c r="G17" s="33">
        <v>16000</v>
      </c>
      <c r="H17" s="34">
        <v>0.12</v>
      </c>
    </row>
    <row r="18" spans="1:8">
      <c r="A18" s="26" t="s">
        <v>362</v>
      </c>
      <c r="B18" s="27" t="s">
        <v>363</v>
      </c>
      <c r="C18" s="28">
        <v>7234</v>
      </c>
      <c r="D18" s="28">
        <v>2240113</v>
      </c>
      <c r="E18" s="28">
        <v>87857</v>
      </c>
      <c r="F18" s="29">
        <v>117</v>
      </c>
      <c r="G18" s="28">
        <v>21000</v>
      </c>
      <c r="H18" s="29">
        <v>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49"/>
  <sheetViews>
    <sheetView tabSelected="1" workbookViewId="0">
      <selection sqref="A1:C1"/>
    </sheetView>
  </sheetViews>
  <sheetFormatPr baseColWidth="10" defaultColWidth="12.5703125" defaultRowHeight="15.75" customHeight="1"/>
  <sheetData>
    <row r="1" spans="1:21">
      <c r="A1" s="88" t="s">
        <v>364</v>
      </c>
      <c r="B1" s="89"/>
      <c r="C1" s="89"/>
      <c r="D1" s="17"/>
      <c r="E1" s="17"/>
      <c r="F1" s="17"/>
      <c r="G1" s="17"/>
      <c r="H1" s="17"/>
      <c r="I1" s="17"/>
      <c r="J1" s="17"/>
      <c r="K1" s="17"/>
      <c r="L1" s="17"/>
      <c r="M1" s="17"/>
      <c r="N1" s="17"/>
      <c r="O1" s="17"/>
      <c r="P1" s="17"/>
      <c r="Q1" s="17"/>
      <c r="R1" s="17"/>
      <c r="S1" s="17"/>
      <c r="T1" s="17"/>
      <c r="U1" s="17"/>
    </row>
    <row r="2" spans="1:21">
      <c r="A2" s="37" t="s">
        <v>365</v>
      </c>
      <c r="B2" s="90" t="s">
        <v>366</v>
      </c>
      <c r="C2" s="89"/>
      <c r="D2" s="89"/>
      <c r="E2" s="89"/>
      <c r="F2" s="89"/>
      <c r="G2" s="89"/>
      <c r="H2" s="89"/>
      <c r="I2" s="89"/>
      <c r="J2" s="89"/>
      <c r="K2" s="89"/>
      <c r="L2" s="89"/>
      <c r="M2" s="17"/>
      <c r="N2" s="17"/>
      <c r="O2" s="17"/>
      <c r="P2" s="17"/>
      <c r="Q2" s="17"/>
      <c r="R2" s="17"/>
      <c r="S2" s="17"/>
      <c r="T2" s="17"/>
      <c r="U2" s="17"/>
    </row>
    <row r="3" spans="1:21">
      <c r="A3" s="37" t="s">
        <v>367</v>
      </c>
      <c r="B3" s="91">
        <v>45586.958333333336</v>
      </c>
      <c r="C3" s="89"/>
      <c r="D3" s="17"/>
      <c r="E3" s="17"/>
      <c r="F3" s="17"/>
      <c r="G3" s="17"/>
      <c r="H3" s="17"/>
      <c r="I3" s="17"/>
      <c r="J3" s="17"/>
      <c r="K3" s="17"/>
      <c r="L3" s="17"/>
      <c r="M3" s="17"/>
      <c r="N3" s="17"/>
      <c r="O3" s="17"/>
      <c r="P3" s="17"/>
      <c r="Q3" s="17"/>
      <c r="R3" s="17"/>
      <c r="S3" s="17"/>
      <c r="T3" s="17"/>
      <c r="U3" s="17"/>
    </row>
    <row r="4" spans="1:21">
      <c r="A4" s="17"/>
      <c r="B4" s="39" t="s">
        <v>368</v>
      </c>
      <c r="C4" s="17"/>
      <c r="D4" s="17"/>
      <c r="E4" s="17"/>
      <c r="F4" s="17"/>
      <c r="G4" s="17"/>
      <c r="H4" s="17"/>
      <c r="I4" s="17"/>
      <c r="J4" s="17"/>
      <c r="K4" s="17"/>
      <c r="L4" s="17"/>
      <c r="M4" s="17"/>
      <c r="N4" s="17"/>
      <c r="O4" s="17"/>
      <c r="P4" s="17"/>
      <c r="Q4" s="17"/>
      <c r="R4" s="17"/>
      <c r="S4" s="17"/>
      <c r="T4" s="17"/>
      <c r="U4" s="17"/>
    </row>
    <row r="5" spans="1:21">
      <c r="A5" s="38" t="s">
        <v>369</v>
      </c>
      <c r="B5" s="17"/>
      <c r="C5" s="88" t="s">
        <v>370</v>
      </c>
      <c r="D5" s="89"/>
      <c r="E5" s="17"/>
      <c r="F5" s="17"/>
      <c r="G5" s="17"/>
      <c r="H5" s="17"/>
      <c r="I5" s="17"/>
      <c r="J5" s="17"/>
      <c r="K5" s="17"/>
      <c r="L5" s="17"/>
      <c r="M5" s="17"/>
      <c r="N5" s="17"/>
      <c r="O5" s="17"/>
      <c r="P5" s="17"/>
      <c r="Q5" s="17"/>
      <c r="R5" s="17"/>
      <c r="S5" s="17"/>
      <c r="T5" s="17"/>
      <c r="U5" s="17"/>
    </row>
    <row r="6" spans="1:21">
      <c r="A6" s="90" t="s">
        <v>371</v>
      </c>
      <c r="B6" s="89"/>
      <c r="C6" s="88" t="s">
        <v>372</v>
      </c>
      <c r="D6" s="89"/>
      <c r="E6" s="17"/>
      <c r="F6" s="17"/>
      <c r="G6" s="17"/>
      <c r="H6" s="17"/>
      <c r="I6" s="17"/>
      <c r="J6" s="17"/>
      <c r="K6" s="17"/>
      <c r="L6" s="17"/>
      <c r="M6" s="17"/>
      <c r="N6" s="17"/>
      <c r="O6" s="17"/>
      <c r="P6" s="17"/>
      <c r="Q6" s="17"/>
      <c r="R6" s="17"/>
      <c r="S6" s="17"/>
      <c r="T6" s="17"/>
      <c r="U6" s="17"/>
    </row>
    <row r="7" spans="1:21">
      <c r="A7" s="38" t="s">
        <v>373</v>
      </c>
      <c r="B7" s="17"/>
      <c r="C7" s="88" t="s">
        <v>374</v>
      </c>
      <c r="D7" s="89"/>
      <c r="E7" s="89"/>
      <c r="F7" s="89"/>
      <c r="G7" s="17"/>
      <c r="H7" s="17"/>
      <c r="I7" s="17"/>
      <c r="J7" s="17"/>
      <c r="K7" s="17"/>
      <c r="L7" s="17"/>
      <c r="M7" s="17"/>
      <c r="N7" s="17"/>
      <c r="O7" s="17"/>
      <c r="P7" s="17"/>
      <c r="Q7" s="17"/>
      <c r="R7" s="17"/>
      <c r="S7" s="17"/>
      <c r="T7" s="17"/>
      <c r="U7" s="17"/>
    </row>
    <row r="8" spans="1:21">
      <c r="A8" s="17"/>
      <c r="B8" s="17"/>
      <c r="C8" s="17"/>
      <c r="D8" s="17"/>
      <c r="E8" s="17"/>
      <c r="F8" s="17"/>
      <c r="G8" s="17"/>
      <c r="H8" s="17"/>
      <c r="I8" s="17"/>
      <c r="J8" s="17"/>
      <c r="K8" s="17"/>
      <c r="L8" s="17"/>
      <c r="M8" s="17"/>
      <c r="N8" s="17"/>
      <c r="O8" s="17"/>
      <c r="P8" s="17"/>
      <c r="Q8" s="17"/>
      <c r="R8" s="17"/>
      <c r="S8" s="17"/>
      <c r="T8" s="17"/>
      <c r="U8" s="17"/>
    </row>
    <row r="9" spans="1:21">
      <c r="A9" s="40" t="s">
        <v>375</v>
      </c>
      <c r="B9" s="92">
        <v>2011</v>
      </c>
      <c r="C9" s="93"/>
      <c r="D9" s="92">
        <v>2012</v>
      </c>
      <c r="E9" s="93"/>
      <c r="F9" s="92">
        <v>2013</v>
      </c>
      <c r="G9" s="93"/>
      <c r="H9" s="92">
        <v>2014</v>
      </c>
      <c r="I9" s="93"/>
      <c r="J9" s="92">
        <v>2015</v>
      </c>
      <c r="K9" s="93"/>
      <c r="L9" s="92">
        <v>2016</v>
      </c>
      <c r="M9" s="93"/>
      <c r="N9" s="92">
        <v>2017</v>
      </c>
      <c r="O9" s="93"/>
      <c r="P9" s="92">
        <v>2018</v>
      </c>
      <c r="Q9" s="93"/>
      <c r="R9" s="92">
        <v>2019</v>
      </c>
      <c r="S9" s="93"/>
      <c r="T9" s="92">
        <v>2020</v>
      </c>
      <c r="U9" s="93"/>
    </row>
    <row r="10" spans="1:21">
      <c r="A10" s="41" t="s">
        <v>376</v>
      </c>
      <c r="B10" s="42"/>
      <c r="C10" s="42"/>
      <c r="D10" s="42"/>
      <c r="E10" s="42"/>
      <c r="F10" s="42"/>
      <c r="G10" s="42"/>
      <c r="H10" s="42"/>
      <c r="I10" s="42"/>
      <c r="J10" s="42"/>
      <c r="K10" s="42"/>
      <c r="L10" s="42"/>
      <c r="M10" s="42"/>
      <c r="N10" s="42"/>
      <c r="O10" s="42"/>
      <c r="P10" s="42"/>
      <c r="Q10" s="42"/>
      <c r="R10" s="42"/>
      <c r="S10" s="42"/>
      <c r="T10" s="42"/>
      <c r="U10" s="42"/>
    </row>
    <row r="11" spans="1:21">
      <c r="A11" s="43" t="s">
        <v>377</v>
      </c>
      <c r="B11" s="44" t="s">
        <v>378</v>
      </c>
      <c r="C11" s="44" t="s">
        <v>379</v>
      </c>
      <c r="D11" s="44" t="s">
        <v>378</v>
      </c>
      <c r="E11" s="44" t="s">
        <v>379</v>
      </c>
      <c r="F11" s="44" t="s">
        <v>378</v>
      </c>
      <c r="G11" s="44"/>
      <c r="H11" s="44" t="s">
        <v>378</v>
      </c>
      <c r="I11" s="44" t="s">
        <v>379</v>
      </c>
      <c r="J11" s="44" t="s">
        <v>378</v>
      </c>
      <c r="K11" s="44" t="s">
        <v>379</v>
      </c>
      <c r="L11" s="44" t="s">
        <v>378</v>
      </c>
      <c r="M11" s="44" t="s">
        <v>379</v>
      </c>
      <c r="N11" s="44" t="s">
        <v>378</v>
      </c>
      <c r="O11" s="44" t="s">
        <v>379</v>
      </c>
      <c r="P11" s="44" t="s">
        <v>378</v>
      </c>
      <c r="Q11" s="44" t="s">
        <v>379</v>
      </c>
      <c r="R11" s="44" t="s">
        <v>378</v>
      </c>
      <c r="S11" s="44" t="s">
        <v>379</v>
      </c>
      <c r="T11" s="44" t="s">
        <v>378</v>
      </c>
      <c r="U11" s="44" t="s">
        <v>379</v>
      </c>
    </row>
    <row r="12" spans="1:21">
      <c r="A12" s="43" t="s">
        <v>380</v>
      </c>
      <c r="B12" s="45" t="s">
        <v>378</v>
      </c>
      <c r="C12" s="45" t="s">
        <v>379</v>
      </c>
      <c r="D12" s="45" t="s">
        <v>378</v>
      </c>
      <c r="E12" s="45" t="s">
        <v>379</v>
      </c>
      <c r="F12" s="45" t="s">
        <v>378</v>
      </c>
      <c r="G12" s="45"/>
      <c r="H12" s="45" t="s">
        <v>378</v>
      </c>
      <c r="I12" s="45" t="s">
        <v>379</v>
      </c>
      <c r="J12" s="45" t="s">
        <v>378</v>
      </c>
      <c r="K12" s="45" t="s">
        <v>379</v>
      </c>
      <c r="L12" s="45" t="s">
        <v>378</v>
      </c>
      <c r="M12" s="45" t="s">
        <v>379</v>
      </c>
      <c r="N12" s="45" t="s">
        <v>378</v>
      </c>
      <c r="O12" s="45" t="s">
        <v>379</v>
      </c>
      <c r="P12" s="45" t="s">
        <v>378</v>
      </c>
      <c r="Q12" s="45" t="s">
        <v>379</v>
      </c>
      <c r="R12" s="45" t="s">
        <v>378</v>
      </c>
      <c r="S12" s="45" t="s">
        <v>379</v>
      </c>
      <c r="T12" s="45" t="s">
        <v>378</v>
      </c>
      <c r="U12" s="45"/>
    </row>
    <row r="13" spans="1:21">
      <c r="A13" s="43" t="s">
        <v>381</v>
      </c>
      <c r="B13" s="44">
        <v>80.680000000000007</v>
      </c>
      <c r="C13" s="44"/>
      <c r="D13" s="44">
        <v>78.34</v>
      </c>
      <c r="E13" s="44"/>
      <c r="F13" s="44">
        <v>79.430000000000007</v>
      </c>
      <c r="G13" s="44"/>
      <c r="H13" s="44">
        <v>84.79</v>
      </c>
      <c r="I13" s="44"/>
      <c r="J13" s="44">
        <v>103.05</v>
      </c>
      <c r="K13" s="44"/>
      <c r="L13" s="44">
        <v>110.24</v>
      </c>
      <c r="M13" s="44"/>
      <c r="N13" s="44">
        <v>118.97</v>
      </c>
      <c r="O13" s="44"/>
      <c r="P13" s="44">
        <v>116.79</v>
      </c>
      <c r="Q13" s="44"/>
      <c r="R13" s="44">
        <v>114.86</v>
      </c>
      <c r="S13" s="44"/>
      <c r="T13" s="44">
        <v>113.86</v>
      </c>
      <c r="U13" s="44"/>
    </row>
    <row r="14" spans="1:21">
      <c r="A14" s="43" t="s">
        <v>22</v>
      </c>
      <c r="B14" s="45">
        <v>68.56</v>
      </c>
      <c r="C14" s="45"/>
      <c r="D14" s="45">
        <v>68.510000000000005</v>
      </c>
      <c r="E14" s="45"/>
      <c r="F14" s="45">
        <v>67.62</v>
      </c>
      <c r="G14" s="45"/>
      <c r="H14" s="45">
        <v>77.400000000000006</v>
      </c>
      <c r="I14" s="45"/>
      <c r="J14" s="45">
        <v>76.8</v>
      </c>
      <c r="K14" s="45"/>
      <c r="L14" s="45">
        <v>79.56</v>
      </c>
      <c r="M14" s="45"/>
      <c r="N14" s="45">
        <v>89.4</v>
      </c>
      <c r="O14" s="45"/>
      <c r="P14" s="45">
        <v>91.9</v>
      </c>
      <c r="Q14" s="45"/>
      <c r="R14" s="45">
        <v>99.95</v>
      </c>
      <c r="S14" s="45"/>
      <c r="T14" s="45">
        <v>103.39</v>
      </c>
      <c r="U14" s="45"/>
    </row>
    <row r="15" spans="1:21">
      <c r="A15" s="43" t="s">
        <v>382</v>
      </c>
      <c r="B15" s="44">
        <v>113.12</v>
      </c>
      <c r="C15" s="44"/>
      <c r="D15" s="44">
        <v>111.55</v>
      </c>
      <c r="E15" s="44"/>
      <c r="F15" s="44">
        <v>117.79</v>
      </c>
      <c r="G15" s="44"/>
      <c r="H15" s="44">
        <v>116.64</v>
      </c>
      <c r="I15" s="44"/>
      <c r="J15" s="44">
        <v>123.01</v>
      </c>
      <c r="K15" s="44"/>
      <c r="L15" s="44">
        <v>141.72</v>
      </c>
      <c r="M15" s="44"/>
      <c r="N15" s="44">
        <v>145.06</v>
      </c>
      <c r="O15" s="44"/>
      <c r="P15" s="44">
        <v>130.79</v>
      </c>
      <c r="Q15" s="44"/>
      <c r="R15" s="44">
        <v>134.34</v>
      </c>
      <c r="S15" s="44"/>
      <c r="T15" s="44">
        <v>151.27000000000001</v>
      </c>
      <c r="U15" s="44"/>
    </row>
    <row r="16" spans="1:21">
      <c r="A16" s="43" t="s">
        <v>383</v>
      </c>
      <c r="B16" s="45">
        <v>276</v>
      </c>
      <c r="C16" s="45"/>
      <c r="D16" s="45">
        <v>300</v>
      </c>
      <c r="E16" s="45"/>
      <c r="F16" s="45">
        <v>324.89999999999998</v>
      </c>
      <c r="G16" s="45"/>
      <c r="H16" s="45">
        <v>368.9</v>
      </c>
      <c r="I16" s="45"/>
      <c r="J16" s="45">
        <v>391.3</v>
      </c>
      <c r="K16" s="45"/>
      <c r="L16" s="45">
        <v>428</v>
      </c>
      <c r="M16" s="45"/>
      <c r="N16" s="45">
        <v>450.5</v>
      </c>
      <c r="O16" s="45"/>
      <c r="P16" s="45">
        <v>452</v>
      </c>
      <c r="Q16" s="45"/>
      <c r="R16" s="45">
        <v>457</v>
      </c>
      <c r="S16" s="45"/>
      <c r="T16" s="45">
        <v>467.7</v>
      </c>
      <c r="U16" s="45"/>
    </row>
    <row r="17" spans="1:21">
      <c r="A17" s="43" t="s">
        <v>384</v>
      </c>
      <c r="B17" s="46">
        <v>2111.3000000000002</v>
      </c>
      <c r="C17" s="44"/>
      <c r="D17" s="46">
        <v>2161.15</v>
      </c>
      <c r="E17" s="44"/>
      <c r="F17" s="46">
        <v>2226.38</v>
      </c>
      <c r="G17" s="44"/>
      <c r="H17" s="46">
        <v>2276.16</v>
      </c>
      <c r="I17" s="44"/>
      <c r="J17" s="46">
        <v>2238.09</v>
      </c>
      <c r="K17" s="44"/>
      <c r="L17" s="46">
        <v>2233.96</v>
      </c>
      <c r="M17" s="44"/>
      <c r="N17" s="46">
        <v>2216.5500000000002</v>
      </c>
      <c r="O17" s="44"/>
      <c r="P17" s="46">
        <v>2245.8000000000002</v>
      </c>
      <c r="Q17" s="44"/>
      <c r="R17" s="46">
        <v>2297.4</v>
      </c>
      <c r="S17" s="44"/>
      <c r="T17" s="46">
        <v>2355.12</v>
      </c>
      <c r="U17" s="44"/>
    </row>
    <row r="18" spans="1:21">
      <c r="A18" s="43" t="s">
        <v>31</v>
      </c>
      <c r="B18" s="45">
        <v>40.630000000000003</v>
      </c>
      <c r="C18" s="45"/>
      <c r="D18" s="45">
        <v>42.63</v>
      </c>
      <c r="E18" s="45"/>
      <c r="F18" s="45">
        <v>43.83</v>
      </c>
      <c r="G18" s="45"/>
      <c r="H18" s="45">
        <v>40.53</v>
      </c>
      <c r="I18" s="45"/>
      <c r="J18" s="45">
        <v>43.1</v>
      </c>
      <c r="K18" s="45"/>
      <c r="L18" s="45">
        <v>43.29</v>
      </c>
      <c r="M18" s="45"/>
      <c r="N18" s="45">
        <v>44.4</v>
      </c>
      <c r="O18" s="45"/>
      <c r="P18" s="45">
        <v>44.83</v>
      </c>
      <c r="Q18" s="45"/>
      <c r="R18" s="45">
        <v>47.29</v>
      </c>
      <c r="S18" s="45"/>
      <c r="T18" s="45">
        <v>46.18</v>
      </c>
      <c r="U18" s="45"/>
    </row>
    <row r="19" spans="1:21">
      <c r="A19" s="43" t="s">
        <v>385</v>
      </c>
      <c r="B19" s="44" t="s">
        <v>378</v>
      </c>
      <c r="C19" s="44" t="s">
        <v>379</v>
      </c>
      <c r="D19" s="44" t="s">
        <v>378</v>
      </c>
      <c r="E19" s="44" t="s">
        <v>379</v>
      </c>
      <c r="F19" s="44">
        <v>182.8</v>
      </c>
      <c r="G19" s="44"/>
      <c r="H19" s="44">
        <v>188.42</v>
      </c>
      <c r="I19" s="44"/>
      <c r="J19" s="44">
        <v>207.1</v>
      </c>
      <c r="K19" s="44"/>
      <c r="L19" s="44">
        <v>206.1</v>
      </c>
      <c r="M19" s="44"/>
      <c r="N19" s="44">
        <v>219.9</v>
      </c>
      <c r="O19" s="44"/>
      <c r="P19" s="44">
        <v>225.4</v>
      </c>
      <c r="Q19" s="44"/>
      <c r="R19" s="44">
        <v>278.39999999999998</v>
      </c>
      <c r="S19" s="44"/>
      <c r="T19" s="44">
        <v>285.39999999999998</v>
      </c>
      <c r="U19" s="44"/>
    </row>
    <row r="20" spans="1:21">
      <c r="A20" s="43" t="s">
        <v>386</v>
      </c>
      <c r="B20" s="45">
        <v>192.5</v>
      </c>
      <c r="C20" s="45"/>
      <c r="D20" s="45">
        <v>195</v>
      </c>
      <c r="E20" s="45"/>
      <c r="F20" s="45">
        <v>187</v>
      </c>
      <c r="G20" s="45"/>
      <c r="H20" s="45">
        <v>190</v>
      </c>
      <c r="I20" s="45"/>
      <c r="J20" s="45">
        <v>188.3</v>
      </c>
      <c r="K20" s="45"/>
      <c r="L20" s="45">
        <v>203.8</v>
      </c>
      <c r="M20" s="45"/>
      <c r="N20" s="45">
        <v>218.8</v>
      </c>
      <c r="O20" s="45"/>
      <c r="P20" s="45">
        <v>219.3</v>
      </c>
      <c r="Q20" s="45"/>
      <c r="R20" s="45">
        <v>207.43</v>
      </c>
      <c r="S20" s="45"/>
      <c r="T20" s="45">
        <v>228.19</v>
      </c>
      <c r="U20" s="45"/>
    </row>
    <row r="21" spans="1:21">
      <c r="A21" s="43" t="s">
        <v>387</v>
      </c>
      <c r="B21" s="44">
        <v>306.8</v>
      </c>
      <c r="C21" s="44" t="s">
        <v>388</v>
      </c>
      <c r="D21" s="44">
        <v>315.70999999999998</v>
      </c>
      <c r="E21" s="44" t="s">
        <v>388</v>
      </c>
      <c r="F21" s="44">
        <v>314.89999999999998</v>
      </c>
      <c r="G21" s="44" t="s">
        <v>388</v>
      </c>
      <c r="H21" s="44">
        <v>387.74</v>
      </c>
      <c r="I21" s="44" t="s">
        <v>388</v>
      </c>
      <c r="J21" s="44">
        <v>452.05</v>
      </c>
      <c r="K21" s="44"/>
      <c r="L21" s="44">
        <v>460.92</v>
      </c>
      <c r="M21" s="44" t="s">
        <v>388</v>
      </c>
      <c r="N21" s="44">
        <v>481.12</v>
      </c>
      <c r="O21" s="44" t="s">
        <v>388</v>
      </c>
      <c r="P21" s="44">
        <v>474.68</v>
      </c>
      <c r="Q21" s="44" t="s">
        <v>388</v>
      </c>
      <c r="R21" s="44">
        <v>442.23</v>
      </c>
      <c r="S21" s="44"/>
      <c r="T21" s="44">
        <v>471.84</v>
      </c>
      <c r="U21" s="44"/>
    </row>
    <row r="22" spans="1:21">
      <c r="A22" s="43" t="s">
        <v>389</v>
      </c>
      <c r="B22" s="47">
        <v>1923.04</v>
      </c>
      <c r="C22" s="45"/>
      <c r="D22" s="47">
        <v>1928.23</v>
      </c>
      <c r="E22" s="45"/>
      <c r="F22" s="47">
        <v>1946.64</v>
      </c>
      <c r="G22" s="45"/>
      <c r="H22" s="47">
        <v>1946.31</v>
      </c>
      <c r="I22" s="45"/>
      <c r="J22" s="47">
        <v>1949.83</v>
      </c>
      <c r="K22" s="45"/>
      <c r="L22" s="47">
        <v>1918.97</v>
      </c>
      <c r="M22" s="45"/>
      <c r="N22" s="47">
        <v>1919.57</v>
      </c>
      <c r="O22" s="45"/>
      <c r="P22" s="47">
        <v>1907.76</v>
      </c>
      <c r="Q22" s="45"/>
      <c r="R22" s="47">
        <v>1903.29</v>
      </c>
      <c r="S22" s="45"/>
      <c r="T22" s="47">
        <v>1862.1</v>
      </c>
      <c r="U22" s="45"/>
    </row>
    <row r="23" spans="1:21">
      <c r="A23" s="43" t="s">
        <v>34</v>
      </c>
      <c r="B23" s="44">
        <v>30.14</v>
      </c>
      <c r="C23" s="44"/>
      <c r="D23" s="44">
        <v>31.63</v>
      </c>
      <c r="E23" s="44"/>
      <c r="F23" s="44">
        <v>32.64</v>
      </c>
      <c r="G23" s="44"/>
      <c r="H23" s="44">
        <v>32.200000000000003</v>
      </c>
      <c r="I23" s="44"/>
      <c r="J23" s="44">
        <v>33.97</v>
      </c>
      <c r="K23" s="44"/>
      <c r="L23" s="44">
        <v>36.08</v>
      </c>
      <c r="M23" s="44"/>
      <c r="N23" s="44">
        <v>34.68</v>
      </c>
      <c r="O23" s="44"/>
      <c r="P23" s="44">
        <v>31.02</v>
      </c>
      <c r="Q23" s="44"/>
      <c r="R23" s="44">
        <v>33.78</v>
      </c>
      <c r="S23" s="44"/>
      <c r="T23" s="44">
        <v>31.78</v>
      </c>
      <c r="U23" s="44"/>
    </row>
    <row r="24" spans="1:21">
      <c r="A24" s="43" t="s">
        <v>390</v>
      </c>
      <c r="B24" s="47">
        <v>1171.04</v>
      </c>
      <c r="C24" s="45"/>
      <c r="D24" s="47">
        <v>1203.76</v>
      </c>
      <c r="E24" s="45"/>
      <c r="F24" s="47">
        <v>1157.74</v>
      </c>
      <c r="G24" s="45"/>
      <c r="H24" s="47">
        <v>1176.02</v>
      </c>
      <c r="I24" s="45"/>
      <c r="J24" s="47">
        <v>1206.67</v>
      </c>
      <c r="K24" s="45"/>
      <c r="L24" s="47">
        <v>1232.23</v>
      </c>
      <c r="M24" s="45"/>
      <c r="N24" s="47">
        <v>1261.1300000000001</v>
      </c>
      <c r="O24" s="45"/>
      <c r="P24" s="47">
        <v>1308.03</v>
      </c>
      <c r="Q24" s="45"/>
      <c r="R24" s="47">
        <v>1327.3</v>
      </c>
      <c r="S24" s="45"/>
      <c r="T24" s="47">
        <v>1344.69</v>
      </c>
      <c r="U24" s="45"/>
    </row>
    <row r="25" spans="1:21">
      <c r="A25" s="43" t="s">
        <v>33</v>
      </c>
      <c r="B25" s="44">
        <v>16.09</v>
      </c>
      <c r="C25" s="44"/>
      <c r="D25" s="44">
        <v>19.43</v>
      </c>
      <c r="E25" s="44"/>
      <c r="F25" s="44">
        <v>19.850000000000001</v>
      </c>
      <c r="G25" s="44"/>
      <c r="H25" s="44">
        <v>19.989999999999998</v>
      </c>
      <c r="I25" s="44"/>
      <c r="J25" s="44">
        <v>23.18</v>
      </c>
      <c r="K25" s="44"/>
      <c r="L25" s="44">
        <v>26.6</v>
      </c>
      <c r="M25" s="44"/>
      <c r="N25" s="44">
        <v>27.79</v>
      </c>
      <c r="O25" s="44"/>
      <c r="P25" s="44">
        <v>27.93</v>
      </c>
      <c r="Q25" s="44"/>
      <c r="R25" s="44">
        <v>32.06</v>
      </c>
      <c r="S25" s="44"/>
      <c r="T25" s="44">
        <v>35.17</v>
      </c>
      <c r="U25" s="44"/>
    </row>
    <row r="26" spans="1:21">
      <c r="A26" s="43" t="s">
        <v>30</v>
      </c>
      <c r="B26" s="45">
        <v>29.21</v>
      </c>
      <c r="C26" s="45"/>
      <c r="D26" s="45">
        <v>31.33</v>
      </c>
      <c r="E26" s="45"/>
      <c r="F26" s="45" t="s">
        <v>378</v>
      </c>
      <c r="G26" s="45"/>
      <c r="H26" s="45">
        <v>34.74</v>
      </c>
      <c r="I26" s="45"/>
      <c r="J26" s="45">
        <v>38.380000000000003</v>
      </c>
      <c r="K26" s="45"/>
      <c r="L26" s="45">
        <v>38.630000000000003</v>
      </c>
      <c r="M26" s="45"/>
      <c r="N26" s="45">
        <v>46.35</v>
      </c>
      <c r="O26" s="45" t="s">
        <v>388</v>
      </c>
      <c r="P26" s="45">
        <v>47.42</v>
      </c>
      <c r="Q26" s="45"/>
      <c r="R26" s="45">
        <v>50.51</v>
      </c>
      <c r="S26" s="45"/>
      <c r="T26" s="45">
        <v>51.91</v>
      </c>
      <c r="U26" s="45"/>
    </row>
    <row r="27" spans="1:21">
      <c r="A27" s="43" t="s">
        <v>391</v>
      </c>
      <c r="B27" s="44">
        <v>102.77</v>
      </c>
      <c r="C27" s="44"/>
      <c r="D27" s="44">
        <v>111.81</v>
      </c>
      <c r="E27" s="44"/>
      <c r="F27" s="44">
        <v>113.05</v>
      </c>
      <c r="G27" s="44"/>
      <c r="H27" s="44">
        <v>102.51</v>
      </c>
      <c r="I27" s="44"/>
      <c r="J27" s="44">
        <v>100.96</v>
      </c>
      <c r="K27" s="44"/>
      <c r="L27" s="44">
        <v>97.5</v>
      </c>
      <c r="M27" s="44"/>
      <c r="N27" s="44">
        <v>99.57</v>
      </c>
      <c r="O27" s="44"/>
      <c r="P27" s="44">
        <v>101.05</v>
      </c>
      <c r="Q27" s="44"/>
      <c r="R27" s="44">
        <v>97.85</v>
      </c>
      <c r="S27" s="44"/>
      <c r="T27" s="44">
        <v>100.61</v>
      </c>
      <c r="U27" s="44"/>
    </row>
    <row r="28" spans="1:21">
      <c r="A28" s="43" t="s">
        <v>392</v>
      </c>
      <c r="B28" s="45" t="s">
        <v>378</v>
      </c>
      <c r="C28" s="45" t="s">
        <v>379</v>
      </c>
      <c r="D28" s="45" t="s">
        <v>378</v>
      </c>
      <c r="E28" s="45" t="s">
        <v>379</v>
      </c>
      <c r="F28" s="45" t="s">
        <v>378</v>
      </c>
      <c r="G28" s="45" t="s">
        <v>379</v>
      </c>
      <c r="H28" s="45" t="s">
        <v>378</v>
      </c>
      <c r="I28" s="45" t="s">
        <v>379</v>
      </c>
      <c r="J28" s="45" t="s">
        <v>378</v>
      </c>
      <c r="K28" s="45" t="s">
        <v>379</v>
      </c>
      <c r="L28" s="45" t="s">
        <v>378</v>
      </c>
      <c r="M28" s="45" t="s">
        <v>379</v>
      </c>
      <c r="N28" s="45">
        <v>3.21</v>
      </c>
      <c r="O28" s="45"/>
      <c r="P28" s="45">
        <v>2.77</v>
      </c>
      <c r="Q28" s="45"/>
      <c r="R28" s="45" t="s">
        <v>378</v>
      </c>
      <c r="S28" s="45" t="s">
        <v>379</v>
      </c>
      <c r="T28" s="45" t="s">
        <v>378</v>
      </c>
      <c r="U28" s="45" t="s">
        <v>379</v>
      </c>
    </row>
    <row r="29" spans="1:21">
      <c r="A29" s="43" t="s">
        <v>393</v>
      </c>
      <c r="B29" s="44">
        <v>65.36</v>
      </c>
      <c r="C29" s="44"/>
      <c r="D29" s="44">
        <v>72.61</v>
      </c>
      <c r="E29" s="44"/>
      <c r="F29" s="44">
        <v>68</v>
      </c>
      <c r="G29" s="44"/>
      <c r="H29" s="44">
        <v>74.790000000000006</v>
      </c>
      <c r="I29" s="44"/>
      <c r="J29" s="44">
        <v>80.459999999999994</v>
      </c>
      <c r="K29" s="44"/>
      <c r="L29" s="44">
        <v>80.45</v>
      </c>
      <c r="M29" s="44"/>
      <c r="N29" s="44">
        <v>87.38</v>
      </c>
      <c r="O29" s="44"/>
      <c r="P29" s="44">
        <v>83.67</v>
      </c>
      <c r="Q29" s="44"/>
      <c r="R29" s="44">
        <v>86.13</v>
      </c>
      <c r="S29" s="44"/>
      <c r="T29" s="44">
        <v>94.08</v>
      </c>
      <c r="U29" s="44"/>
    </row>
    <row r="30" spans="1:21">
      <c r="A30" s="43" t="s">
        <v>394</v>
      </c>
      <c r="B30" s="45" t="s">
        <v>378</v>
      </c>
      <c r="C30" s="45" t="s">
        <v>379</v>
      </c>
      <c r="D30" s="45" t="s">
        <v>378</v>
      </c>
      <c r="E30" s="45" t="s">
        <v>379</v>
      </c>
      <c r="F30" s="45" t="s">
        <v>378</v>
      </c>
      <c r="G30" s="45" t="s">
        <v>379</v>
      </c>
      <c r="H30" s="45" t="s">
        <v>378</v>
      </c>
      <c r="I30" s="45" t="s">
        <v>379</v>
      </c>
      <c r="J30" s="45" t="s">
        <v>378</v>
      </c>
      <c r="K30" s="45" t="s">
        <v>379</v>
      </c>
      <c r="L30" s="45" t="s">
        <v>378</v>
      </c>
      <c r="M30" s="45" t="s">
        <v>379</v>
      </c>
      <c r="N30" s="45" t="s">
        <v>378</v>
      </c>
      <c r="O30" s="45" t="s">
        <v>379</v>
      </c>
      <c r="P30" s="45" t="s">
        <v>378</v>
      </c>
      <c r="Q30" s="45" t="s">
        <v>379</v>
      </c>
      <c r="R30" s="45" t="s">
        <v>378</v>
      </c>
      <c r="S30" s="45" t="s">
        <v>379</v>
      </c>
      <c r="T30" s="45" t="s">
        <v>378</v>
      </c>
      <c r="U30" s="45" t="s">
        <v>379</v>
      </c>
    </row>
    <row r="31" spans="1:21">
      <c r="A31" s="43" t="s">
        <v>395</v>
      </c>
      <c r="B31" s="44">
        <v>768.51</v>
      </c>
      <c r="C31" s="44"/>
      <c r="D31" s="44">
        <v>783.94</v>
      </c>
      <c r="E31" s="44"/>
      <c r="F31" s="44">
        <v>814.67</v>
      </c>
      <c r="G31" s="44"/>
      <c r="H31" s="44">
        <v>771.92</v>
      </c>
      <c r="I31" s="44"/>
      <c r="J31" s="44">
        <v>870</v>
      </c>
      <c r="K31" s="44"/>
      <c r="L31" s="44">
        <v>911</v>
      </c>
      <c r="M31" s="44"/>
      <c r="N31" s="44">
        <v>896</v>
      </c>
      <c r="O31" s="44"/>
      <c r="P31" s="44">
        <v>902</v>
      </c>
      <c r="Q31" s="44"/>
      <c r="R31" s="44">
        <v>953.26</v>
      </c>
      <c r="S31" s="44"/>
      <c r="T31" s="44">
        <v>999.6</v>
      </c>
      <c r="U31" s="44"/>
    </row>
    <row r="32" spans="1:21">
      <c r="A32" s="43" t="s">
        <v>20</v>
      </c>
      <c r="B32" s="45">
        <v>153.97999999999999</v>
      </c>
      <c r="C32" s="45"/>
      <c r="D32" s="45">
        <v>159.94</v>
      </c>
      <c r="E32" s="45"/>
      <c r="F32" s="45">
        <v>157.76</v>
      </c>
      <c r="G32" s="45"/>
      <c r="H32" s="45">
        <v>172.44</v>
      </c>
      <c r="I32" s="45"/>
      <c r="J32" s="45">
        <v>184.87</v>
      </c>
      <c r="K32" s="45"/>
      <c r="L32" s="45">
        <v>194.98</v>
      </c>
      <c r="M32" s="45"/>
      <c r="N32" s="45">
        <v>201.75</v>
      </c>
      <c r="O32" s="45"/>
      <c r="P32" s="45">
        <v>202.47</v>
      </c>
      <c r="Q32" s="45"/>
      <c r="R32" s="45">
        <v>205.48</v>
      </c>
      <c r="S32" s="45"/>
      <c r="T32" s="45">
        <v>206.4</v>
      </c>
      <c r="U32" s="45"/>
    </row>
    <row r="33" spans="1:21">
      <c r="A33" s="43" t="s">
        <v>396</v>
      </c>
      <c r="B33" s="44">
        <v>675.57</v>
      </c>
      <c r="C33" s="44"/>
      <c r="D33" s="44">
        <v>721.49</v>
      </c>
      <c r="E33" s="44"/>
      <c r="F33" s="44">
        <v>732.28</v>
      </c>
      <c r="G33" s="44"/>
      <c r="H33" s="44">
        <v>743.74</v>
      </c>
      <c r="I33" s="44"/>
      <c r="J33" s="44">
        <v>772.67</v>
      </c>
      <c r="K33" s="44"/>
      <c r="L33" s="44">
        <v>805.99</v>
      </c>
      <c r="M33" s="44"/>
      <c r="N33" s="44">
        <v>840.63</v>
      </c>
      <c r="O33" s="44"/>
      <c r="P33" s="44">
        <v>855.59</v>
      </c>
      <c r="Q33" s="44"/>
      <c r="R33" s="44">
        <v>867.95</v>
      </c>
      <c r="S33" s="44"/>
      <c r="T33" s="44">
        <v>893.78</v>
      </c>
      <c r="U33" s="44"/>
    </row>
    <row r="34" spans="1:21">
      <c r="A34" s="43" t="s">
        <v>28</v>
      </c>
      <c r="B34" s="45">
        <v>72.239999999999995</v>
      </c>
      <c r="C34" s="45"/>
      <c r="D34" s="45">
        <v>71.88</v>
      </c>
      <c r="E34" s="45"/>
      <c r="F34" s="45">
        <v>69.95</v>
      </c>
      <c r="G34" s="45"/>
      <c r="H34" s="45">
        <v>73.37</v>
      </c>
      <c r="I34" s="45"/>
      <c r="J34" s="45">
        <v>73.34</v>
      </c>
      <c r="K34" s="45"/>
      <c r="L34" s="45">
        <v>75.03</v>
      </c>
      <c r="M34" s="45"/>
      <c r="N34" s="45">
        <v>78.62</v>
      </c>
      <c r="O34" s="45"/>
      <c r="P34" s="45">
        <v>80.14</v>
      </c>
      <c r="Q34" s="45"/>
      <c r="R34" s="45">
        <v>84.48</v>
      </c>
      <c r="S34" s="45"/>
      <c r="T34" s="45">
        <v>80.739999999999995</v>
      </c>
      <c r="U34" s="45"/>
    </row>
    <row r="35" spans="1:21">
      <c r="A35" s="43" t="s">
        <v>25</v>
      </c>
      <c r="B35" s="44">
        <v>60.58</v>
      </c>
      <c r="C35" s="44"/>
      <c r="D35" s="44">
        <v>67.099999999999994</v>
      </c>
      <c r="E35" s="44"/>
      <c r="F35" s="44">
        <v>70.48</v>
      </c>
      <c r="G35" s="44"/>
      <c r="H35" s="44">
        <v>74.650000000000006</v>
      </c>
      <c r="I35" s="44"/>
      <c r="J35" s="44">
        <v>81.650000000000006</v>
      </c>
      <c r="K35" s="44"/>
      <c r="L35" s="44">
        <v>87.58</v>
      </c>
      <c r="M35" s="44"/>
      <c r="N35" s="44">
        <v>91.07</v>
      </c>
      <c r="O35" s="44"/>
      <c r="P35" s="44">
        <v>96.24</v>
      </c>
      <c r="Q35" s="44"/>
      <c r="R35" s="44">
        <v>96.4</v>
      </c>
      <c r="S35" s="44"/>
      <c r="T35" s="44">
        <v>97.36</v>
      </c>
      <c r="U35" s="44"/>
    </row>
    <row r="36" spans="1:21">
      <c r="A36" s="43" t="s">
        <v>35</v>
      </c>
      <c r="B36" s="45">
        <v>18.329999999999998</v>
      </c>
      <c r="C36" s="45"/>
      <c r="D36" s="45">
        <v>17.61</v>
      </c>
      <c r="E36" s="45"/>
      <c r="F36" s="45">
        <v>15.98</v>
      </c>
      <c r="G36" s="45"/>
      <c r="H36" s="45">
        <v>16.64</v>
      </c>
      <c r="I36" s="45"/>
      <c r="J36" s="45">
        <v>15.16</v>
      </c>
      <c r="K36" s="45"/>
      <c r="L36" s="45">
        <v>15.22</v>
      </c>
      <c r="M36" s="45"/>
      <c r="N36" s="45">
        <v>16.59</v>
      </c>
      <c r="O36" s="45"/>
      <c r="P36" s="45">
        <v>16.23</v>
      </c>
      <c r="Q36" s="45"/>
      <c r="R36" s="45">
        <v>15.8</v>
      </c>
      <c r="S36" s="45"/>
      <c r="T36" s="45">
        <v>15.56</v>
      </c>
      <c r="U36" s="45"/>
    </row>
    <row r="37" spans="1:21">
      <c r="A37" s="43" t="s">
        <v>189</v>
      </c>
      <c r="B37" s="44">
        <v>30.66</v>
      </c>
      <c r="C37" s="44"/>
      <c r="D37" s="44">
        <v>32.1</v>
      </c>
      <c r="E37" s="44"/>
      <c r="F37" s="44">
        <v>32.92</v>
      </c>
      <c r="G37" s="44"/>
      <c r="H37" s="44">
        <v>33.270000000000003</v>
      </c>
      <c r="I37" s="44"/>
      <c r="J37" s="44">
        <v>35.76</v>
      </c>
      <c r="K37" s="44"/>
      <c r="L37" s="44">
        <v>38.29</v>
      </c>
      <c r="M37" s="44"/>
      <c r="N37" s="44">
        <v>40.31</v>
      </c>
      <c r="O37" s="44"/>
      <c r="P37" s="44">
        <v>42.72</v>
      </c>
      <c r="Q37" s="44"/>
      <c r="R37" s="44">
        <v>43.3</v>
      </c>
      <c r="S37" s="44"/>
      <c r="T37" s="44">
        <v>43.29</v>
      </c>
      <c r="U37" s="44"/>
    </row>
    <row r="38" spans="1:21">
      <c r="A38" s="43" t="s">
        <v>397</v>
      </c>
      <c r="B38" s="45">
        <v>108.97</v>
      </c>
      <c r="C38" s="45"/>
      <c r="D38" s="45">
        <v>102.32</v>
      </c>
      <c r="E38" s="45"/>
      <c r="F38" s="45">
        <v>102.37</v>
      </c>
      <c r="G38" s="45"/>
      <c r="H38" s="45" t="s">
        <v>378</v>
      </c>
      <c r="I38" s="45" t="s">
        <v>379</v>
      </c>
      <c r="J38" s="45">
        <v>88.44</v>
      </c>
      <c r="K38" s="45"/>
      <c r="L38" s="45">
        <v>83.82</v>
      </c>
      <c r="M38" s="45"/>
      <c r="N38" s="45" t="s">
        <v>378</v>
      </c>
      <c r="O38" s="45" t="s">
        <v>379</v>
      </c>
      <c r="P38" s="45" t="s">
        <v>378</v>
      </c>
      <c r="Q38" s="45" t="s">
        <v>379</v>
      </c>
      <c r="R38" s="45" t="s">
        <v>378</v>
      </c>
      <c r="S38" s="45" t="s">
        <v>379</v>
      </c>
      <c r="T38" s="45" t="s">
        <v>378</v>
      </c>
      <c r="U38" s="45" t="s">
        <v>379</v>
      </c>
    </row>
    <row r="39" spans="1:21">
      <c r="A39" s="43" t="s">
        <v>398</v>
      </c>
      <c r="B39" s="44">
        <v>103.3</v>
      </c>
      <c r="C39" s="44"/>
      <c r="D39" s="44">
        <v>101.16</v>
      </c>
      <c r="E39" s="44"/>
      <c r="F39" s="44">
        <v>88.97</v>
      </c>
      <c r="G39" s="44"/>
      <c r="H39" s="44">
        <v>88.12</v>
      </c>
      <c r="I39" s="44"/>
      <c r="J39" s="44">
        <v>90.24</v>
      </c>
      <c r="K39" s="44"/>
      <c r="L39" s="44">
        <v>87.25</v>
      </c>
      <c r="M39" s="44"/>
      <c r="N39" s="44">
        <v>82.66</v>
      </c>
      <c r="O39" s="44"/>
      <c r="P39" s="44">
        <v>81.84</v>
      </c>
      <c r="Q39" s="44"/>
      <c r="R39" s="44">
        <v>81.7</v>
      </c>
      <c r="S39" s="44"/>
      <c r="T39" s="44">
        <v>83.48</v>
      </c>
      <c r="U39" s="44"/>
    </row>
    <row r="40" spans="1:21">
      <c r="A40" s="43" t="s">
        <v>399</v>
      </c>
      <c r="B40" s="45" t="s">
        <v>378</v>
      </c>
      <c r="C40" s="45" t="s">
        <v>379</v>
      </c>
      <c r="D40" s="45" t="s">
        <v>378</v>
      </c>
      <c r="E40" s="45"/>
      <c r="F40" s="45" t="s">
        <v>378</v>
      </c>
      <c r="G40" s="45"/>
      <c r="H40" s="45" t="s">
        <v>378</v>
      </c>
      <c r="I40" s="45"/>
      <c r="J40" s="45" t="s">
        <v>378</v>
      </c>
      <c r="K40" s="45"/>
      <c r="L40" s="45" t="s">
        <v>378</v>
      </c>
      <c r="M40" s="45"/>
      <c r="N40" s="45" t="s">
        <v>378</v>
      </c>
      <c r="O40" s="45"/>
      <c r="P40" s="45" t="s">
        <v>378</v>
      </c>
      <c r="Q40" s="45"/>
      <c r="R40" s="45" t="s">
        <v>378</v>
      </c>
      <c r="S40" s="45"/>
      <c r="T40" s="45" t="s">
        <v>378</v>
      </c>
      <c r="U40" s="45"/>
    </row>
    <row r="41" spans="1:21">
      <c r="A41" s="43" t="s">
        <v>24</v>
      </c>
      <c r="B41" s="44" t="s">
        <v>378</v>
      </c>
      <c r="C41" s="44"/>
      <c r="D41" s="44" t="s">
        <v>378</v>
      </c>
      <c r="E41" s="44"/>
      <c r="F41" s="44" t="s">
        <v>378</v>
      </c>
      <c r="G41" s="44"/>
      <c r="H41" s="44">
        <v>106.1</v>
      </c>
      <c r="I41" s="44"/>
      <c r="J41" s="44">
        <v>103.8</v>
      </c>
      <c r="K41" s="44"/>
      <c r="L41" s="44">
        <v>99.8</v>
      </c>
      <c r="M41" s="44"/>
      <c r="N41" s="44">
        <v>99</v>
      </c>
      <c r="O41" s="44"/>
      <c r="P41" s="44">
        <v>102.2</v>
      </c>
      <c r="Q41" s="44"/>
      <c r="R41" s="44">
        <v>96.1</v>
      </c>
      <c r="S41" s="44"/>
      <c r="T41" s="44">
        <v>99.9</v>
      </c>
      <c r="U41" s="44"/>
    </row>
    <row r="42" spans="1:21">
      <c r="A42" s="43" t="s">
        <v>400</v>
      </c>
      <c r="B42" s="45">
        <v>181</v>
      </c>
      <c r="C42" s="45"/>
      <c r="D42" s="45">
        <v>181.18</v>
      </c>
      <c r="E42" s="45"/>
      <c r="F42" s="45">
        <v>182.71</v>
      </c>
      <c r="G42" s="45"/>
      <c r="H42" s="45">
        <v>185.34</v>
      </c>
      <c r="I42" s="45"/>
      <c r="J42" s="45">
        <v>188.81</v>
      </c>
      <c r="K42" s="45"/>
      <c r="L42" s="45">
        <v>184.9</v>
      </c>
      <c r="M42" s="45"/>
      <c r="N42" s="45">
        <v>189.29</v>
      </c>
      <c r="O42" s="45"/>
      <c r="P42" s="45">
        <v>191.31</v>
      </c>
      <c r="Q42" s="45"/>
      <c r="R42" s="45">
        <v>195.11</v>
      </c>
      <c r="S42" s="45"/>
      <c r="T42" s="45">
        <v>203.81</v>
      </c>
      <c r="U42" s="45"/>
    </row>
    <row r="43" spans="1:21">
      <c r="A43" s="43" t="s">
        <v>401</v>
      </c>
      <c r="B43" s="44">
        <v>355.2</v>
      </c>
      <c r="C43" s="44"/>
      <c r="D43" s="44">
        <v>357.22</v>
      </c>
      <c r="E43" s="44"/>
      <c r="F43" s="44">
        <v>348.56</v>
      </c>
      <c r="G43" s="44"/>
      <c r="H43" s="44">
        <v>372.53</v>
      </c>
      <c r="I43" s="44"/>
      <c r="J43" s="44">
        <v>396.99</v>
      </c>
      <c r="K43" s="44"/>
      <c r="L43" s="44">
        <v>441.53</v>
      </c>
      <c r="M43" s="44"/>
      <c r="N43" s="44">
        <v>456.84</v>
      </c>
      <c r="O43" s="44"/>
      <c r="P43" s="44">
        <v>465.09</v>
      </c>
      <c r="Q43" s="44"/>
      <c r="R43" s="44">
        <v>461.53</v>
      </c>
      <c r="S43" s="44"/>
      <c r="T43" s="44" t="s">
        <v>378</v>
      </c>
      <c r="U43" s="44"/>
    </row>
    <row r="44" spans="1:21">
      <c r="A44" s="43" t="s">
        <v>402</v>
      </c>
      <c r="B44" s="45" t="s">
        <v>378</v>
      </c>
      <c r="C44" s="45"/>
      <c r="D44" s="45">
        <v>0.8</v>
      </c>
      <c r="E44" s="45"/>
      <c r="F44" s="45">
        <v>1</v>
      </c>
      <c r="G44" s="45"/>
      <c r="H44" s="45" t="s">
        <v>378</v>
      </c>
      <c r="I44" s="45"/>
      <c r="J44" s="45">
        <v>0.8</v>
      </c>
      <c r="K44" s="45"/>
      <c r="L44" s="45">
        <v>1.2</v>
      </c>
      <c r="M44" s="45"/>
      <c r="N44" s="45">
        <v>1.2</v>
      </c>
      <c r="O44" s="45"/>
      <c r="P44" s="45">
        <v>1.3</v>
      </c>
      <c r="Q44" s="45"/>
      <c r="R44" s="45">
        <v>1.78</v>
      </c>
      <c r="S44" s="45"/>
      <c r="T44" s="45" t="s">
        <v>378</v>
      </c>
      <c r="U44" s="45"/>
    </row>
    <row r="45" spans="1:21">
      <c r="A45" s="43" t="s">
        <v>403</v>
      </c>
      <c r="B45" s="44" t="s">
        <v>378</v>
      </c>
      <c r="C45" s="44"/>
      <c r="D45" s="44" t="s">
        <v>378</v>
      </c>
      <c r="E45" s="44"/>
      <c r="F45" s="44" t="s">
        <v>378</v>
      </c>
      <c r="G45" s="44"/>
      <c r="H45" s="44" t="s">
        <v>378</v>
      </c>
      <c r="I45" s="44"/>
      <c r="J45" s="44" t="s">
        <v>378</v>
      </c>
      <c r="K45" s="44"/>
      <c r="L45" s="44" t="s">
        <v>378</v>
      </c>
      <c r="M45" s="44"/>
      <c r="N45" s="44" t="s">
        <v>378</v>
      </c>
      <c r="O45" s="44"/>
      <c r="P45" s="44">
        <v>13.07</v>
      </c>
      <c r="Q45" s="44"/>
      <c r="R45" s="44" t="s">
        <v>378</v>
      </c>
      <c r="S45" s="44"/>
      <c r="T45" s="44" t="s">
        <v>378</v>
      </c>
      <c r="U45" s="44"/>
    </row>
    <row r="46" spans="1:21">
      <c r="A46" s="43" t="s">
        <v>36</v>
      </c>
      <c r="B46" s="45" t="s">
        <v>378</v>
      </c>
      <c r="C46" s="45"/>
      <c r="D46" s="45" t="s">
        <v>378</v>
      </c>
      <c r="E46" s="45"/>
      <c r="F46" s="45" t="s">
        <v>378</v>
      </c>
      <c r="G46" s="45"/>
      <c r="H46" s="45">
        <v>11.94</v>
      </c>
      <c r="I46" s="45"/>
      <c r="J46" s="45">
        <v>13.5</v>
      </c>
      <c r="K46" s="45" t="s">
        <v>388</v>
      </c>
      <c r="L46" s="45">
        <v>14.3</v>
      </c>
      <c r="M46" s="45" t="s">
        <v>388</v>
      </c>
      <c r="N46" s="45">
        <v>14.7</v>
      </c>
      <c r="O46" s="45"/>
      <c r="P46" s="45">
        <v>14.6</v>
      </c>
      <c r="Q46" s="45"/>
      <c r="R46" s="45">
        <v>13.6</v>
      </c>
      <c r="S46" s="45"/>
      <c r="T46" s="45">
        <v>11.71</v>
      </c>
      <c r="U46" s="45"/>
    </row>
    <row r="47" spans="1:21">
      <c r="A47" s="43" t="s">
        <v>29</v>
      </c>
      <c r="B47" s="44" t="s">
        <v>378</v>
      </c>
      <c r="C47" s="44"/>
      <c r="D47" s="44" t="s">
        <v>378</v>
      </c>
      <c r="E47" s="44"/>
      <c r="F47" s="44" t="s">
        <v>378</v>
      </c>
      <c r="G47" s="44"/>
      <c r="H47" s="44">
        <v>33.75</v>
      </c>
      <c r="I47" s="44"/>
      <c r="J47" s="44">
        <v>40.74</v>
      </c>
      <c r="K47" s="44"/>
      <c r="L47" s="44">
        <v>44.36</v>
      </c>
      <c r="M47" s="44"/>
      <c r="N47" s="44">
        <v>50.09</v>
      </c>
      <c r="O47" s="44"/>
      <c r="P47" s="44">
        <v>53.1</v>
      </c>
      <c r="Q47" s="44"/>
      <c r="R47" s="44" t="s">
        <v>378</v>
      </c>
      <c r="S47" s="44"/>
      <c r="T47" s="44">
        <v>53.37</v>
      </c>
      <c r="U47" s="44"/>
    </row>
    <row r="48" spans="1:21">
      <c r="A48" s="43" t="s">
        <v>404</v>
      </c>
      <c r="B48" s="45" t="s">
        <v>378</v>
      </c>
      <c r="C48" s="45"/>
      <c r="D48" s="45">
        <v>563.5</v>
      </c>
      <c r="E48" s="45"/>
      <c r="F48" s="45">
        <v>598.91999999999996</v>
      </c>
      <c r="G48" s="45"/>
      <c r="H48" s="45">
        <v>631.1</v>
      </c>
      <c r="I48" s="45"/>
      <c r="J48" s="45">
        <v>665.8</v>
      </c>
      <c r="K48" s="45"/>
      <c r="L48" s="45">
        <v>657.7</v>
      </c>
      <c r="M48" s="45"/>
      <c r="N48" s="45">
        <v>687.2</v>
      </c>
      <c r="O48" s="45"/>
      <c r="P48" s="45">
        <v>753.2</v>
      </c>
      <c r="Q48" s="45"/>
      <c r="R48" s="45">
        <v>696.8</v>
      </c>
      <c r="S48" s="45"/>
      <c r="T48" s="45">
        <v>756.6</v>
      </c>
      <c r="U48" s="45"/>
    </row>
    <row r="49" spans="1:21">
      <c r="A49" s="17"/>
      <c r="B49" s="17"/>
      <c r="C49" s="17"/>
      <c r="D49" s="17"/>
      <c r="E49" s="17"/>
      <c r="F49" s="17"/>
      <c r="G49" s="17"/>
      <c r="H49" s="17"/>
      <c r="I49" s="17"/>
      <c r="J49" s="17"/>
      <c r="K49" s="17"/>
      <c r="L49" s="17"/>
      <c r="M49" s="17"/>
      <c r="N49" s="17"/>
      <c r="O49" s="17"/>
      <c r="P49" s="17"/>
      <c r="Q49" s="17"/>
      <c r="R49" s="17"/>
      <c r="S49" s="17"/>
      <c r="T49" s="17"/>
      <c r="U49" s="17"/>
    </row>
  </sheetData>
  <mergeCells count="17">
    <mergeCell ref="C7:F7"/>
    <mergeCell ref="P9:Q9"/>
    <mergeCell ref="R9:S9"/>
    <mergeCell ref="T9:U9"/>
    <mergeCell ref="B9:C9"/>
    <mergeCell ref="D9:E9"/>
    <mergeCell ref="F9:G9"/>
    <mergeCell ref="H9:I9"/>
    <mergeCell ref="J9:K9"/>
    <mergeCell ref="L9:M9"/>
    <mergeCell ref="N9:O9"/>
    <mergeCell ref="A1:C1"/>
    <mergeCell ref="B2:L2"/>
    <mergeCell ref="B3:C3"/>
    <mergeCell ref="C5:D5"/>
    <mergeCell ref="A6:B6"/>
    <mergeCell ref="C6:D6"/>
  </mergeCells>
  <hyperlinks>
    <hyperlink ref="B4"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9"/>
  <sheetViews>
    <sheetView workbookViewId="0"/>
  </sheetViews>
  <sheetFormatPr baseColWidth="10" defaultColWidth="12.5703125" defaultRowHeight="15.75" customHeight="1"/>
  <cols>
    <col min="1" max="1" width="22.140625" customWidth="1"/>
  </cols>
  <sheetData>
    <row r="1" spans="1:3">
      <c r="A1" s="20" t="s">
        <v>405</v>
      </c>
      <c r="B1" s="20" t="s">
        <v>406</v>
      </c>
      <c r="C1" s="20" t="s">
        <v>407</v>
      </c>
    </row>
    <row r="2" spans="1:3">
      <c r="A2" s="17" t="s">
        <v>335</v>
      </c>
      <c r="B2" s="21">
        <v>5302</v>
      </c>
      <c r="C2" s="21">
        <v>6685</v>
      </c>
    </row>
    <row r="3" spans="1:3">
      <c r="A3" s="17" t="s">
        <v>337</v>
      </c>
      <c r="B3" s="19">
        <v>963</v>
      </c>
      <c r="C3" s="21">
        <v>1240</v>
      </c>
    </row>
    <row r="4" spans="1:3">
      <c r="A4" s="17" t="s">
        <v>408</v>
      </c>
      <c r="B4" s="19">
        <v>644</v>
      </c>
      <c r="C4" s="19">
        <v>764</v>
      </c>
    </row>
    <row r="5" spans="1:3">
      <c r="A5" s="17" t="s">
        <v>409</v>
      </c>
      <c r="B5" s="19">
        <v>592</v>
      </c>
      <c r="C5" s="19">
        <v>764</v>
      </c>
    </row>
    <row r="6" spans="1:3">
      <c r="A6" s="17" t="s">
        <v>306</v>
      </c>
      <c r="B6" s="19">
        <v>930</v>
      </c>
      <c r="C6" s="21">
        <v>1185</v>
      </c>
    </row>
    <row r="7" spans="1:3">
      <c r="A7" s="17" t="s">
        <v>297</v>
      </c>
      <c r="B7" s="19">
        <v>379</v>
      </c>
      <c r="C7" s="19">
        <v>444</v>
      </c>
    </row>
    <row r="8" spans="1:3">
      <c r="A8" s="17" t="s">
        <v>347</v>
      </c>
      <c r="B8" s="21">
        <v>2867</v>
      </c>
      <c r="C8" s="21">
        <v>3728</v>
      </c>
    </row>
    <row r="9" spans="1:3">
      <c r="A9" s="17" t="s">
        <v>345</v>
      </c>
      <c r="B9" s="21">
        <v>2117</v>
      </c>
      <c r="C9" s="21">
        <v>2668</v>
      </c>
    </row>
    <row r="10" spans="1:3">
      <c r="A10" s="17" t="s">
        <v>308</v>
      </c>
      <c r="B10" s="21">
        <v>3717</v>
      </c>
      <c r="C10" s="21">
        <v>4904</v>
      </c>
    </row>
    <row r="11" spans="1:3">
      <c r="A11" s="17" t="s">
        <v>352</v>
      </c>
      <c r="B11" s="21">
        <v>2360</v>
      </c>
      <c r="C11" s="21">
        <v>2932</v>
      </c>
    </row>
    <row r="12" spans="1:3">
      <c r="A12" s="17" t="s">
        <v>304</v>
      </c>
      <c r="B12" s="21">
        <v>1246</v>
      </c>
      <c r="C12" s="21">
        <v>1531</v>
      </c>
    </row>
    <row r="13" spans="1:3">
      <c r="A13" s="17" t="s">
        <v>294</v>
      </c>
      <c r="B13" s="21">
        <v>2245</v>
      </c>
      <c r="C13" s="21">
        <v>2792</v>
      </c>
    </row>
    <row r="14" spans="1:3">
      <c r="A14" s="17" t="s">
        <v>350</v>
      </c>
      <c r="B14" s="21">
        <v>1498</v>
      </c>
      <c r="C14" s="21">
        <v>1752</v>
      </c>
    </row>
    <row r="15" spans="1:3">
      <c r="A15" s="17" t="s">
        <v>410</v>
      </c>
      <c r="B15" s="21">
        <v>1003</v>
      </c>
      <c r="C15" s="21">
        <v>1204</v>
      </c>
    </row>
    <row r="16" spans="1:3">
      <c r="A16" s="17" t="s">
        <v>411</v>
      </c>
      <c r="B16" s="19">
        <v>563</v>
      </c>
      <c r="C16" s="19">
        <v>721</v>
      </c>
    </row>
    <row r="17" spans="1:3">
      <c r="A17" s="17" t="s">
        <v>362</v>
      </c>
      <c r="B17" s="21">
        <v>1294</v>
      </c>
      <c r="C17" s="21">
        <v>1460</v>
      </c>
    </row>
    <row r="18" spans="1:3">
      <c r="A18" s="17" t="s">
        <v>356</v>
      </c>
      <c r="B18" s="19">
        <v>581</v>
      </c>
      <c r="C18" s="19">
        <v>768</v>
      </c>
    </row>
    <row r="19" spans="1:3">
      <c r="A19" s="17" t="s">
        <v>412</v>
      </c>
      <c r="B19" s="19">
        <v>34</v>
      </c>
      <c r="C19" s="19">
        <v>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8"/>
  <sheetViews>
    <sheetView workbookViewId="0"/>
  </sheetViews>
  <sheetFormatPr baseColWidth="10" defaultColWidth="12.5703125" defaultRowHeight="15.75" customHeight="1"/>
  <cols>
    <col min="1" max="1" width="19.5703125" customWidth="1"/>
  </cols>
  <sheetData>
    <row r="1" spans="1:4">
      <c r="A1" s="17" t="s">
        <v>413</v>
      </c>
      <c r="B1" s="17" t="s">
        <v>414</v>
      </c>
      <c r="C1" s="17" t="s">
        <v>415</v>
      </c>
      <c r="D1" s="17" t="s">
        <v>416</v>
      </c>
    </row>
    <row r="2" spans="1:4">
      <c r="A2" s="17" t="s">
        <v>308</v>
      </c>
      <c r="B2" s="19">
        <v>16.2</v>
      </c>
      <c r="C2" s="19">
        <v>17.100000000000001</v>
      </c>
      <c r="D2" s="19">
        <v>8.4</v>
      </c>
    </row>
    <row r="3" spans="1:4">
      <c r="A3" s="17" t="s">
        <v>337</v>
      </c>
      <c r="B3" s="19">
        <v>2.9</v>
      </c>
      <c r="C3" s="19">
        <v>2.5</v>
      </c>
      <c r="D3" s="19">
        <v>6.8</v>
      </c>
    </row>
    <row r="4" spans="1:4">
      <c r="A4" s="17" t="s">
        <v>417</v>
      </c>
      <c r="B4" s="19">
        <v>2.5</v>
      </c>
      <c r="C4" s="19">
        <v>2.5</v>
      </c>
      <c r="D4" s="19">
        <v>8.8000000000000007</v>
      </c>
    </row>
    <row r="5" spans="1:4">
      <c r="A5" s="17" t="s">
        <v>418</v>
      </c>
      <c r="B5" s="19">
        <v>10.9</v>
      </c>
      <c r="C5" s="19">
        <v>12</v>
      </c>
      <c r="D5" s="19">
        <v>8.3000000000000007</v>
      </c>
    </row>
    <row r="6" spans="1:4">
      <c r="A6" s="20" t="s">
        <v>410</v>
      </c>
      <c r="B6" s="19">
        <v>3</v>
      </c>
      <c r="C6" s="19">
        <v>3.4</v>
      </c>
      <c r="D6" s="19">
        <v>8.1999999999999993</v>
      </c>
    </row>
    <row r="7" spans="1:4">
      <c r="A7" s="17" t="s">
        <v>335</v>
      </c>
      <c r="B7" s="19">
        <v>17.5</v>
      </c>
      <c r="C7" s="19">
        <v>16.5</v>
      </c>
      <c r="D7" s="19">
        <v>6.7</v>
      </c>
    </row>
    <row r="8" spans="1:4">
      <c r="A8" s="20" t="s">
        <v>350</v>
      </c>
      <c r="B8" s="19">
        <v>14</v>
      </c>
      <c r="C8" s="19">
        <v>13.6</v>
      </c>
      <c r="D8" s="19">
        <v>7.3</v>
      </c>
    </row>
    <row r="9" spans="1:4">
      <c r="A9" s="17" t="s">
        <v>345</v>
      </c>
      <c r="B9" s="19">
        <v>4.2</v>
      </c>
      <c r="C9" s="19">
        <v>3.7</v>
      </c>
      <c r="D9" s="19">
        <v>6.1</v>
      </c>
    </row>
    <row r="10" spans="1:4">
      <c r="A10" s="17" t="s">
        <v>304</v>
      </c>
      <c r="B10" s="19">
        <v>2.2999999999999998</v>
      </c>
      <c r="C10" s="19">
        <v>2.4</v>
      </c>
      <c r="D10" s="19">
        <v>7.1</v>
      </c>
    </row>
    <row r="11" spans="1:4">
      <c r="A11" s="17" t="s">
        <v>419</v>
      </c>
      <c r="B11" s="19">
        <v>5.4</v>
      </c>
      <c r="C11" s="19">
        <v>4.7</v>
      </c>
      <c r="D11" s="19">
        <v>6.7</v>
      </c>
    </row>
    <row r="12" spans="1:4">
      <c r="A12" s="17" t="s">
        <v>294</v>
      </c>
      <c r="B12" s="19">
        <v>5.8</v>
      </c>
      <c r="C12" s="19">
        <v>6.3</v>
      </c>
      <c r="D12" s="19">
        <v>8.1</v>
      </c>
    </row>
    <row r="13" spans="1:4">
      <c r="A13" s="20" t="s">
        <v>408</v>
      </c>
      <c r="B13" s="19">
        <v>2.4</v>
      </c>
      <c r="C13" s="19">
        <v>2.4</v>
      </c>
      <c r="D13" s="19">
        <v>8.1</v>
      </c>
    </row>
    <row r="14" spans="1:4">
      <c r="A14" s="17" t="s">
        <v>297</v>
      </c>
      <c r="B14" s="19">
        <v>1.3</v>
      </c>
      <c r="C14" s="19">
        <v>1</v>
      </c>
      <c r="D14" s="19">
        <v>6.5</v>
      </c>
    </row>
    <row r="15" spans="1:4">
      <c r="A15" s="17" t="s">
        <v>420</v>
      </c>
      <c r="B15" s="19">
        <v>4.8</v>
      </c>
      <c r="C15" s="19">
        <v>4.3</v>
      </c>
      <c r="D15" s="19">
        <v>6.9</v>
      </c>
    </row>
    <row r="16" spans="1:4">
      <c r="A16" s="17" t="s">
        <v>356</v>
      </c>
      <c r="B16" s="19">
        <v>0.7</v>
      </c>
      <c r="C16" s="19">
        <v>0.6</v>
      </c>
      <c r="D16" s="19">
        <v>6.6</v>
      </c>
    </row>
    <row r="17" spans="1:4">
      <c r="A17" s="20" t="s">
        <v>421</v>
      </c>
      <c r="B17" s="19">
        <v>1.4</v>
      </c>
      <c r="C17" s="19">
        <v>1</v>
      </c>
      <c r="D17" s="19">
        <v>6.3</v>
      </c>
    </row>
    <row r="18" spans="1:4">
      <c r="A18" s="17" t="s">
        <v>306</v>
      </c>
      <c r="B18" s="19">
        <v>4.5999999999999996</v>
      </c>
      <c r="C18" s="19">
        <v>5.9</v>
      </c>
      <c r="D18" s="19">
        <v>10.3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7"/>
  <sheetViews>
    <sheetView workbookViewId="0"/>
  </sheetViews>
  <sheetFormatPr baseColWidth="10" defaultColWidth="12.5703125" defaultRowHeight="15.75" customHeight="1"/>
  <sheetData>
    <row r="1" spans="1:8">
      <c r="A1" s="94" t="s">
        <v>422</v>
      </c>
      <c r="B1" s="89"/>
      <c r="C1" s="89"/>
      <c r="D1" s="89"/>
      <c r="E1" s="89"/>
      <c r="F1" s="89"/>
      <c r="G1" s="89"/>
      <c r="H1" s="89"/>
    </row>
    <row r="2" spans="1:8">
      <c r="A2" s="17"/>
      <c r="B2" s="17"/>
      <c r="C2" s="17"/>
      <c r="D2" s="17"/>
      <c r="E2" s="17"/>
      <c r="F2" s="17"/>
      <c r="G2" s="17"/>
      <c r="H2" s="17"/>
    </row>
    <row r="3" spans="1:8">
      <c r="A3" s="17"/>
      <c r="B3" s="17"/>
      <c r="C3" s="17"/>
      <c r="D3" s="17"/>
      <c r="E3" s="17"/>
      <c r="F3" s="17"/>
      <c r="G3" s="17"/>
      <c r="H3" s="17"/>
    </row>
    <row r="4" spans="1:8">
      <c r="A4" s="17" t="s">
        <v>328</v>
      </c>
      <c r="B4" s="17" t="s">
        <v>423</v>
      </c>
      <c r="C4" s="94" t="s">
        <v>424</v>
      </c>
      <c r="D4" s="89"/>
      <c r="E4" s="17"/>
      <c r="F4" s="17"/>
      <c r="G4" s="17"/>
      <c r="H4" s="17"/>
    </row>
    <row r="5" spans="1:8">
      <c r="A5" s="17" t="s">
        <v>335</v>
      </c>
      <c r="B5" s="21">
        <v>5302</v>
      </c>
      <c r="C5" s="21">
        <v>6685</v>
      </c>
      <c r="D5" s="17"/>
      <c r="E5" s="17"/>
      <c r="F5" s="17"/>
      <c r="G5" s="17"/>
      <c r="H5" s="17"/>
    </row>
    <row r="6" spans="1:8">
      <c r="A6" s="17" t="s">
        <v>337</v>
      </c>
      <c r="B6" s="19">
        <v>963</v>
      </c>
      <c r="C6" s="21">
        <v>1240</v>
      </c>
      <c r="D6" s="17"/>
      <c r="E6" s="17"/>
      <c r="F6" s="17"/>
      <c r="G6" s="17"/>
      <c r="H6" s="17"/>
    </row>
    <row r="7" spans="1:8">
      <c r="A7" s="17" t="s">
        <v>408</v>
      </c>
      <c r="B7" s="19">
        <v>644</v>
      </c>
      <c r="C7" s="19">
        <v>764</v>
      </c>
      <c r="D7" s="17"/>
      <c r="E7" s="17"/>
      <c r="F7" s="17"/>
      <c r="G7" s="17"/>
      <c r="H7" s="17"/>
    </row>
    <row r="8" spans="1:8">
      <c r="A8" s="17" t="s">
        <v>409</v>
      </c>
      <c r="B8" s="19">
        <v>592</v>
      </c>
      <c r="C8" s="19">
        <v>764</v>
      </c>
      <c r="D8" s="17"/>
      <c r="E8" s="17"/>
      <c r="F8" s="17"/>
      <c r="G8" s="17"/>
      <c r="H8" s="17"/>
    </row>
    <row r="9" spans="1:8">
      <c r="A9" s="17" t="s">
        <v>306</v>
      </c>
      <c r="B9" s="19">
        <v>930</v>
      </c>
      <c r="C9" s="21">
        <v>1185</v>
      </c>
      <c r="D9" s="17"/>
      <c r="E9" s="17"/>
      <c r="F9" s="17"/>
      <c r="G9" s="17"/>
      <c r="H9" s="17"/>
    </row>
    <row r="10" spans="1:8">
      <c r="A10" s="17" t="s">
        <v>297</v>
      </c>
      <c r="B10" s="19">
        <v>379</v>
      </c>
      <c r="C10" s="19">
        <v>444</v>
      </c>
      <c r="D10" s="17"/>
      <c r="E10" s="17"/>
      <c r="F10" s="17"/>
      <c r="G10" s="17"/>
      <c r="H10" s="17"/>
    </row>
    <row r="11" spans="1:8">
      <c r="A11" s="17" t="s">
        <v>347</v>
      </c>
      <c r="B11" s="21">
        <v>2867</v>
      </c>
      <c r="C11" s="21">
        <v>3728</v>
      </c>
      <c r="D11" s="17"/>
      <c r="E11" s="17"/>
      <c r="F11" s="17"/>
      <c r="G11" s="17"/>
      <c r="H11" s="17"/>
    </row>
    <row r="12" spans="1:8">
      <c r="A12" s="17" t="s">
        <v>345</v>
      </c>
      <c r="B12" s="21">
        <v>2117</v>
      </c>
      <c r="C12" s="21">
        <v>2668</v>
      </c>
      <c r="D12" s="17"/>
      <c r="E12" s="17"/>
      <c r="F12" s="17"/>
      <c r="G12" s="17"/>
      <c r="H12" s="17"/>
    </row>
    <row r="13" spans="1:8">
      <c r="A13" s="17" t="s">
        <v>308</v>
      </c>
      <c r="B13" s="21">
        <v>3717</v>
      </c>
      <c r="C13" s="21">
        <v>4904</v>
      </c>
      <c r="D13" s="17"/>
      <c r="E13" s="17"/>
      <c r="F13" s="17"/>
      <c r="G13" s="17"/>
      <c r="H13" s="17"/>
    </row>
    <row r="14" spans="1:8">
      <c r="A14" s="17" t="s">
        <v>352</v>
      </c>
      <c r="B14" s="21">
        <v>2360</v>
      </c>
      <c r="C14" s="21">
        <v>2932</v>
      </c>
      <c r="D14" s="17"/>
      <c r="E14" s="17"/>
      <c r="F14" s="17"/>
      <c r="G14" s="17"/>
      <c r="H14" s="17"/>
    </row>
    <row r="15" spans="1:8">
      <c r="A15" s="17" t="s">
        <v>304</v>
      </c>
      <c r="B15" s="21">
        <v>1246</v>
      </c>
      <c r="C15" s="21">
        <v>1531</v>
      </c>
      <c r="D15" s="17"/>
      <c r="E15" s="17"/>
      <c r="F15" s="17"/>
      <c r="G15" s="17"/>
      <c r="H15" s="17"/>
    </row>
    <row r="16" spans="1:8">
      <c r="A16" s="17" t="s">
        <v>294</v>
      </c>
      <c r="B16" s="21">
        <v>2245</v>
      </c>
      <c r="C16" s="21">
        <v>2792</v>
      </c>
      <c r="D16" s="17"/>
      <c r="E16" s="17"/>
      <c r="F16" s="17"/>
      <c r="G16" s="17"/>
      <c r="H16" s="17"/>
    </row>
    <row r="17" spans="1:8">
      <c r="A17" s="17" t="s">
        <v>350</v>
      </c>
      <c r="B17" s="21">
        <v>1498</v>
      </c>
      <c r="C17" s="21">
        <v>1752</v>
      </c>
      <c r="D17" s="17"/>
      <c r="E17" s="17"/>
      <c r="F17" s="17"/>
      <c r="G17" s="17"/>
      <c r="H17" s="17"/>
    </row>
    <row r="18" spans="1:8">
      <c r="A18" s="17" t="s">
        <v>410</v>
      </c>
      <c r="B18" s="21">
        <v>1003</v>
      </c>
      <c r="C18" s="21">
        <v>1204</v>
      </c>
      <c r="D18" s="17"/>
      <c r="E18" s="17"/>
      <c r="F18" s="17"/>
      <c r="G18" s="17"/>
      <c r="H18" s="17"/>
    </row>
    <row r="19" spans="1:8">
      <c r="A19" s="17" t="s">
        <v>411</v>
      </c>
      <c r="B19" s="19">
        <v>563</v>
      </c>
      <c r="C19" s="19">
        <v>721</v>
      </c>
      <c r="D19" s="17"/>
      <c r="E19" s="17"/>
      <c r="F19" s="17"/>
      <c r="G19" s="17"/>
      <c r="H19" s="17"/>
    </row>
    <row r="20" spans="1:8">
      <c r="A20" s="17" t="s">
        <v>362</v>
      </c>
      <c r="B20" s="21">
        <v>1294</v>
      </c>
      <c r="C20" s="21">
        <v>1460</v>
      </c>
      <c r="D20" s="17"/>
      <c r="E20" s="17"/>
      <c r="F20" s="17"/>
      <c r="G20" s="17"/>
      <c r="H20" s="17"/>
    </row>
    <row r="21" spans="1:8">
      <c r="A21" s="17" t="s">
        <v>356</v>
      </c>
      <c r="B21" s="19">
        <v>581</v>
      </c>
      <c r="C21" s="19">
        <v>768</v>
      </c>
      <c r="D21" s="17"/>
      <c r="E21" s="17"/>
      <c r="F21" s="17"/>
      <c r="G21" s="17"/>
      <c r="H21" s="17"/>
    </row>
    <row r="22" spans="1:8">
      <c r="A22" s="17" t="s">
        <v>412</v>
      </c>
      <c r="B22" s="19">
        <v>34</v>
      </c>
      <c r="C22" s="19">
        <v>39</v>
      </c>
      <c r="D22" s="17"/>
      <c r="E22" s="17"/>
      <c r="F22" s="17"/>
      <c r="G22" s="17"/>
      <c r="H22" s="17"/>
    </row>
    <row r="23" spans="1:8">
      <c r="A23" s="17"/>
      <c r="B23" s="17"/>
      <c r="C23" s="17"/>
      <c r="D23" s="17"/>
      <c r="E23" s="17"/>
      <c r="F23" s="17"/>
      <c r="G23" s="17"/>
      <c r="H23" s="17"/>
    </row>
    <row r="24" spans="1:8">
      <c r="A24" s="94" t="s">
        <v>425</v>
      </c>
      <c r="B24" s="89"/>
      <c r="C24" s="89"/>
      <c r="D24" s="89"/>
      <c r="E24" s="89"/>
      <c r="F24" s="17"/>
      <c r="G24" s="17"/>
      <c r="H24" s="17"/>
    </row>
    <row r="25" spans="1:8">
      <c r="A25" s="94" t="s">
        <v>426</v>
      </c>
      <c r="B25" s="89"/>
      <c r="C25" s="89"/>
      <c r="D25" s="17"/>
      <c r="E25" s="17"/>
      <c r="F25" s="17"/>
      <c r="G25" s="17"/>
      <c r="H25" s="17"/>
    </row>
    <row r="26" spans="1:8">
      <c r="A26" s="94" t="s">
        <v>427</v>
      </c>
      <c r="B26" s="89"/>
      <c r="C26" s="89"/>
      <c r="D26" s="17"/>
      <c r="E26" s="17"/>
      <c r="F26" s="17"/>
      <c r="G26" s="17"/>
      <c r="H26" s="17"/>
    </row>
    <row r="27" spans="1:8">
      <c r="A27" s="94" t="s">
        <v>428</v>
      </c>
      <c r="B27" s="89"/>
      <c r="C27" s="17"/>
      <c r="D27" s="17"/>
      <c r="E27" s="17"/>
      <c r="F27" s="17"/>
      <c r="G27" s="17"/>
      <c r="H27" s="17"/>
    </row>
  </sheetData>
  <mergeCells count="6">
    <mergeCell ref="A27:B27"/>
    <mergeCell ref="A1:H1"/>
    <mergeCell ref="C4:D4"/>
    <mergeCell ref="A24:E24"/>
    <mergeCell ref="A25:C25"/>
    <mergeCell ref="A26:C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57"/>
  <sheetViews>
    <sheetView workbookViewId="0"/>
  </sheetViews>
  <sheetFormatPr baseColWidth="10" defaultColWidth="12.5703125" defaultRowHeight="15.75" customHeight="1"/>
  <cols>
    <col min="1" max="1" width="32.5703125" customWidth="1"/>
  </cols>
  <sheetData>
    <row r="1" spans="1:9">
      <c r="A1" s="48" t="s">
        <v>429</v>
      </c>
      <c r="B1" s="48"/>
      <c r="C1" s="49">
        <v>2019</v>
      </c>
      <c r="D1" s="49">
        <v>2020</v>
      </c>
      <c r="E1" s="49">
        <v>2021</v>
      </c>
      <c r="F1" s="49">
        <v>2022</v>
      </c>
      <c r="G1" s="49">
        <v>2023</v>
      </c>
      <c r="H1" s="49">
        <v>2024</v>
      </c>
      <c r="I1" s="50" t="s">
        <v>430</v>
      </c>
    </row>
    <row r="2" spans="1:9">
      <c r="A2" s="51" t="s">
        <v>431</v>
      </c>
      <c r="B2" s="52" t="s">
        <v>432</v>
      </c>
      <c r="C2" s="53">
        <v>199292</v>
      </c>
      <c r="D2" s="53">
        <v>203606</v>
      </c>
      <c r="E2" s="53">
        <v>203290</v>
      </c>
      <c r="F2" s="53">
        <v>202051</v>
      </c>
      <c r="G2" s="53">
        <v>211831</v>
      </c>
      <c r="H2" s="53">
        <v>219259</v>
      </c>
      <c r="I2" s="54">
        <f>3.51%</f>
        <v>3.5099999999999999E-2</v>
      </c>
    </row>
    <row r="3" spans="1:9">
      <c r="A3" s="51" t="s">
        <v>433</v>
      </c>
      <c r="B3" s="55" t="s">
        <v>432</v>
      </c>
      <c r="C3" s="56">
        <v>149857</v>
      </c>
      <c r="D3" s="56">
        <v>157482</v>
      </c>
      <c r="E3" s="56">
        <v>163647</v>
      </c>
      <c r="F3" s="56">
        <v>160097</v>
      </c>
      <c r="G3" s="56">
        <v>161223</v>
      </c>
      <c r="H3" s="56">
        <v>163495</v>
      </c>
      <c r="I3" s="57">
        <f>1.41%</f>
        <v>1.41E-2</v>
      </c>
    </row>
    <row r="4" spans="1:9">
      <c r="A4" s="51" t="s">
        <v>434</v>
      </c>
      <c r="B4" s="52" t="s">
        <v>432</v>
      </c>
      <c r="C4" s="53">
        <v>60309</v>
      </c>
      <c r="D4" s="53">
        <v>61205</v>
      </c>
      <c r="E4" s="53">
        <v>63106</v>
      </c>
      <c r="F4" s="53">
        <v>60580</v>
      </c>
      <c r="G4" s="53">
        <v>62147</v>
      </c>
      <c r="H4" s="58" t="s">
        <v>435</v>
      </c>
      <c r="I4" s="59" t="s">
        <v>436</v>
      </c>
    </row>
    <row r="5" spans="1:9">
      <c r="A5" s="51" t="s">
        <v>437</v>
      </c>
      <c r="B5" s="55" t="s">
        <v>432</v>
      </c>
      <c r="C5" s="56">
        <v>20682</v>
      </c>
      <c r="D5" s="56">
        <v>23065</v>
      </c>
      <c r="E5" s="56">
        <v>21969</v>
      </c>
      <c r="F5" s="56">
        <v>20842</v>
      </c>
      <c r="G5" s="56">
        <v>20433</v>
      </c>
      <c r="H5" s="60" t="s">
        <v>435</v>
      </c>
      <c r="I5" s="61" t="s">
        <v>436</v>
      </c>
    </row>
    <row r="6" spans="1:9">
      <c r="A6" s="51" t="s">
        <v>438</v>
      </c>
      <c r="B6" s="52" t="s">
        <v>432</v>
      </c>
      <c r="C6" s="53">
        <v>8806</v>
      </c>
      <c r="D6" s="53">
        <v>8369</v>
      </c>
      <c r="E6" s="53">
        <v>8674</v>
      </c>
      <c r="F6" s="53">
        <v>8792</v>
      </c>
      <c r="G6" s="53">
        <v>8792</v>
      </c>
      <c r="H6" s="53">
        <v>8694</v>
      </c>
      <c r="I6" s="62">
        <v>-1.11E-2</v>
      </c>
    </row>
    <row r="7" spans="1:9">
      <c r="A7" s="51" t="s">
        <v>439</v>
      </c>
      <c r="B7" s="55" t="s">
        <v>432</v>
      </c>
      <c r="C7" s="56">
        <v>6660</v>
      </c>
      <c r="D7" s="56">
        <v>7350</v>
      </c>
      <c r="E7" s="56">
        <v>7419</v>
      </c>
      <c r="F7" s="56">
        <v>7185</v>
      </c>
      <c r="G7" s="56">
        <v>7032</v>
      </c>
      <c r="H7" s="56">
        <v>7421</v>
      </c>
      <c r="I7" s="57">
        <f>5.53%</f>
        <v>5.5300000000000002E-2</v>
      </c>
    </row>
    <row r="8" spans="1:9">
      <c r="A8" s="51" t="s">
        <v>440</v>
      </c>
      <c r="B8" s="52" t="s">
        <v>432</v>
      </c>
      <c r="C8" s="53">
        <v>6104</v>
      </c>
      <c r="D8" s="53">
        <v>6757</v>
      </c>
      <c r="E8" s="53">
        <v>6255</v>
      </c>
      <c r="F8" s="53">
        <v>5686</v>
      </c>
      <c r="G8" s="53">
        <v>5651</v>
      </c>
      <c r="H8" s="53">
        <v>5581</v>
      </c>
      <c r="I8" s="62">
        <v>-1.24E-2</v>
      </c>
    </row>
    <row r="9" spans="1:9">
      <c r="A9" s="51" t="s">
        <v>441</v>
      </c>
      <c r="B9" s="55" t="s">
        <v>432</v>
      </c>
      <c r="C9" s="56">
        <v>4006</v>
      </c>
      <c r="D9" s="56">
        <v>4000</v>
      </c>
      <c r="E9" s="56">
        <v>4000</v>
      </c>
      <c r="F9" s="56">
        <v>3404</v>
      </c>
      <c r="G9" s="56">
        <v>3132</v>
      </c>
      <c r="H9" s="60" t="s">
        <v>435</v>
      </c>
      <c r="I9" s="61" t="s">
        <v>436</v>
      </c>
    </row>
    <row r="10" spans="1:9">
      <c r="A10" s="51" t="s">
        <v>442</v>
      </c>
      <c r="B10" s="52" t="s">
        <v>432</v>
      </c>
      <c r="C10" s="53">
        <v>2911</v>
      </c>
      <c r="D10" s="53">
        <v>3026</v>
      </c>
      <c r="E10" s="53">
        <v>2791</v>
      </c>
      <c r="F10" s="53">
        <v>2718</v>
      </c>
      <c r="G10" s="53">
        <v>2643</v>
      </c>
      <c r="H10" s="53">
        <v>2629</v>
      </c>
      <c r="I10" s="62">
        <v>-5.3E-3</v>
      </c>
    </row>
    <row r="11" spans="1:9">
      <c r="A11" s="51" t="s">
        <v>443</v>
      </c>
      <c r="B11" s="55" t="s">
        <v>432</v>
      </c>
      <c r="C11" s="56">
        <v>1851</v>
      </c>
      <c r="D11" s="56">
        <v>2430</v>
      </c>
      <c r="E11" s="56">
        <v>1980</v>
      </c>
      <c r="F11" s="56">
        <v>1788</v>
      </c>
      <c r="G11" s="56">
        <v>2255</v>
      </c>
      <c r="H11" s="56">
        <v>2100</v>
      </c>
      <c r="I11" s="63">
        <v>-6.8900000000000003E-2</v>
      </c>
    </row>
    <row r="12" spans="1:9">
      <c r="A12" s="64" t="s">
        <v>249</v>
      </c>
      <c r="B12" s="52" t="s">
        <v>432</v>
      </c>
      <c r="C12" s="53">
        <v>1475</v>
      </c>
      <c r="D12" s="53">
        <v>1932</v>
      </c>
      <c r="E12" s="53">
        <v>2133</v>
      </c>
      <c r="F12" s="53">
        <v>1930</v>
      </c>
      <c r="G12" s="53">
        <v>2154</v>
      </c>
      <c r="H12" s="53">
        <v>2115</v>
      </c>
      <c r="I12" s="62">
        <v>-1.8200000000000001E-2</v>
      </c>
    </row>
    <row r="13" spans="1:9">
      <c r="A13" s="51" t="s">
        <v>444</v>
      </c>
      <c r="B13" s="55" t="s">
        <v>432</v>
      </c>
      <c r="C13" s="56">
        <v>1586</v>
      </c>
      <c r="D13" s="56">
        <v>1703</v>
      </c>
      <c r="E13" s="56">
        <v>1583</v>
      </c>
      <c r="F13" s="56">
        <v>1489</v>
      </c>
      <c r="G13" s="56">
        <v>1524</v>
      </c>
      <c r="H13" s="56">
        <v>1660</v>
      </c>
      <c r="I13" s="57">
        <f>8.92%</f>
        <v>8.9200000000000002E-2</v>
      </c>
    </row>
    <row r="14" spans="1:9">
      <c r="A14" s="64" t="s">
        <v>251</v>
      </c>
      <c r="B14" s="52" t="s">
        <v>432</v>
      </c>
      <c r="C14" s="53">
        <v>1357</v>
      </c>
      <c r="D14" s="53">
        <v>1252</v>
      </c>
      <c r="E14" s="53">
        <v>1240</v>
      </c>
      <c r="F14" s="53">
        <v>1242</v>
      </c>
      <c r="G14" s="53">
        <v>1319</v>
      </c>
      <c r="H14" s="58" t="s">
        <v>435</v>
      </c>
      <c r="I14" s="59" t="s">
        <v>436</v>
      </c>
    </row>
    <row r="15" spans="1:9">
      <c r="A15" s="65" t="s">
        <v>89</v>
      </c>
      <c r="B15" s="55" t="s">
        <v>432</v>
      </c>
      <c r="C15" s="66">
        <v>932</v>
      </c>
      <c r="D15" s="56">
        <v>1246</v>
      </c>
      <c r="E15" s="56">
        <v>1263</v>
      </c>
      <c r="F15" s="56">
        <v>1433</v>
      </c>
      <c r="G15" s="56">
        <v>1248</v>
      </c>
      <c r="H15" s="56">
        <v>1178</v>
      </c>
      <c r="I15" s="63">
        <v>-5.6099999999999997E-2</v>
      </c>
    </row>
    <row r="16" spans="1:9">
      <c r="A16" s="51" t="s">
        <v>445</v>
      </c>
      <c r="B16" s="52" t="s">
        <v>432</v>
      </c>
      <c r="C16" s="53">
        <v>1042</v>
      </c>
      <c r="D16" s="67">
        <v>920</v>
      </c>
      <c r="E16" s="67">
        <v>969</v>
      </c>
      <c r="F16" s="53">
        <v>1112</v>
      </c>
      <c r="G16" s="53">
        <v>1210</v>
      </c>
      <c r="H16" s="53">
        <v>1329</v>
      </c>
      <c r="I16" s="54">
        <f>9.83%</f>
        <v>9.8299999999999998E-2</v>
      </c>
    </row>
    <row r="17" spans="1:9">
      <c r="A17" s="51" t="s">
        <v>446</v>
      </c>
      <c r="B17" s="55" t="s">
        <v>432</v>
      </c>
      <c r="C17" s="66">
        <v>857</v>
      </c>
      <c r="D17" s="66">
        <v>937</v>
      </c>
      <c r="E17" s="66">
        <v>818</v>
      </c>
      <c r="F17" s="66">
        <v>749</v>
      </c>
      <c r="G17" s="66">
        <v>812</v>
      </c>
      <c r="H17" s="60" t="s">
        <v>435</v>
      </c>
      <c r="I17" s="61" t="s">
        <v>436</v>
      </c>
    </row>
    <row r="18" spans="1:9">
      <c r="A18" s="51" t="s">
        <v>447</v>
      </c>
      <c r="B18" s="52" t="s">
        <v>432</v>
      </c>
      <c r="C18" s="67">
        <v>702</v>
      </c>
      <c r="D18" s="67">
        <v>597</v>
      </c>
      <c r="E18" s="67">
        <v>571</v>
      </c>
      <c r="F18" s="67">
        <v>607</v>
      </c>
      <c r="G18" s="67">
        <v>613</v>
      </c>
      <c r="H18" s="67">
        <v>592</v>
      </c>
      <c r="I18" s="62">
        <v>-3.4299999999999997E-2</v>
      </c>
    </row>
    <row r="19" spans="1:9">
      <c r="A19" s="51" t="s">
        <v>448</v>
      </c>
      <c r="B19" s="55" t="s">
        <v>432</v>
      </c>
      <c r="C19" s="66">
        <v>626</v>
      </c>
      <c r="D19" s="66">
        <v>535</v>
      </c>
      <c r="E19" s="66">
        <v>498</v>
      </c>
      <c r="F19" s="66">
        <v>521</v>
      </c>
      <c r="G19" s="66">
        <v>508</v>
      </c>
      <c r="H19" s="66">
        <v>534</v>
      </c>
      <c r="I19" s="57">
        <f>5.12%</f>
        <v>5.1200000000000002E-2</v>
      </c>
    </row>
    <row r="20" spans="1:9">
      <c r="A20" s="51" t="s">
        <v>449</v>
      </c>
      <c r="B20" s="52" t="s">
        <v>432</v>
      </c>
      <c r="C20" s="67">
        <v>405</v>
      </c>
      <c r="D20" s="67">
        <v>455</v>
      </c>
      <c r="E20" s="67">
        <v>403</v>
      </c>
      <c r="F20" s="67">
        <v>423</v>
      </c>
      <c r="G20" s="67">
        <v>457</v>
      </c>
      <c r="H20" s="58" t="s">
        <v>435</v>
      </c>
      <c r="I20" s="59" t="s">
        <v>436</v>
      </c>
    </row>
    <row r="21" spans="1:9">
      <c r="A21" s="51" t="s">
        <v>450</v>
      </c>
      <c r="B21" s="55" t="s">
        <v>432</v>
      </c>
      <c r="C21" s="66">
        <v>385</v>
      </c>
      <c r="D21" s="66">
        <v>360</v>
      </c>
      <c r="E21" s="66">
        <v>382</v>
      </c>
      <c r="F21" s="66">
        <v>364</v>
      </c>
      <c r="G21" s="66">
        <v>418</v>
      </c>
      <c r="H21" s="60" t="s">
        <v>435</v>
      </c>
      <c r="I21" s="61" t="s">
        <v>436</v>
      </c>
    </row>
    <row r="22" spans="1:9">
      <c r="A22" s="64" t="s">
        <v>451</v>
      </c>
      <c r="B22" s="52" t="s">
        <v>432</v>
      </c>
      <c r="C22" s="58" t="s">
        <v>435</v>
      </c>
      <c r="D22" s="58" t="s">
        <v>435</v>
      </c>
      <c r="E22" s="67">
        <v>47.2</v>
      </c>
      <c r="F22" s="67">
        <v>238</v>
      </c>
      <c r="G22" s="67">
        <v>362</v>
      </c>
      <c r="H22" s="67"/>
      <c r="I22" s="59" t="s">
        <v>436</v>
      </c>
    </row>
    <row r="23" spans="1:9">
      <c r="A23" s="65" t="s">
        <v>452</v>
      </c>
      <c r="B23" s="55" t="s">
        <v>432</v>
      </c>
      <c r="C23" s="66">
        <v>241</v>
      </c>
      <c r="D23" s="66">
        <v>224</v>
      </c>
      <c r="E23" s="66">
        <v>276</v>
      </c>
      <c r="F23" s="66">
        <v>228</v>
      </c>
      <c r="G23" s="66">
        <v>229</v>
      </c>
      <c r="H23" s="66">
        <v>260</v>
      </c>
      <c r="I23" s="57">
        <f>13.54%</f>
        <v>0.13539999999999999</v>
      </c>
    </row>
    <row r="24" spans="1:9">
      <c r="A24" s="51" t="s">
        <v>453</v>
      </c>
      <c r="B24" s="52" t="s">
        <v>432</v>
      </c>
      <c r="C24" s="67">
        <v>214</v>
      </c>
      <c r="D24" s="67">
        <v>169</v>
      </c>
      <c r="E24" s="67">
        <v>199</v>
      </c>
      <c r="F24" s="67">
        <v>212</v>
      </c>
      <c r="G24" s="67">
        <v>214</v>
      </c>
      <c r="H24" s="67">
        <v>294</v>
      </c>
      <c r="I24" s="54">
        <f>37.38%</f>
        <v>0.37380000000000002</v>
      </c>
    </row>
    <row r="25" spans="1:9">
      <c r="A25" s="65" t="s">
        <v>454</v>
      </c>
      <c r="B25" s="55" t="s">
        <v>432</v>
      </c>
      <c r="C25" s="66">
        <v>175</v>
      </c>
      <c r="D25" s="66">
        <v>210</v>
      </c>
      <c r="E25" s="66">
        <v>295</v>
      </c>
      <c r="F25" s="66">
        <v>261</v>
      </c>
      <c r="G25" s="66">
        <v>199</v>
      </c>
      <c r="H25" s="66">
        <v>256</v>
      </c>
      <c r="I25" s="57">
        <f>28.64%</f>
        <v>0.28639999999999999</v>
      </c>
    </row>
    <row r="26" spans="1:9">
      <c r="A26" s="51" t="s">
        <v>455</v>
      </c>
      <c r="B26" s="52" t="s">
        <v>432</v>
      </c>
      <c r="C26" s="67">
        <v>61</v>
      </c>
      <c r="D26" s="67">
        <v>58</v>
      </c>
      <c r="E26" s="67">
        <v>62.1</v>
      </c>
      <c r="F26" s="67">
        <v>61.4</v>
      </c>
      <c r="G26" s="67">
        <v>66</v>
      </c>
      <c r="H26" s="58" t="s">
        <v>435</v>
      </c>
      <c r="I26" s="59" t="s">
        <v>436</v>
      </c>
    </row>
    <row r="27" spans="1:9">
      <c r="A27" s="51" t="s">
        <v>456</v>
      </c>
      <c r="B27" s="55" t="s">
        <v>432</v>
      </c>
      <c r="C27" s="66">
        <v>36.200000000000003</v>
      </c>
      <c r="D27" s="66">
        <v>60.3</v>
      </c>
      <c r="E27" s="66">
        <v>92</v>
      </c>
      <c r="F27" s="66">
        <v>78.599999999999994</v>
      </c>
      <c r="G27" s="66">
        <v>39.700000000000003</v>
      </c>
      <c r="H27" s="66"/>
      <c r="I27" s="61" t="s">
        <v>436</v>
      </c>
    </row>
    <row r="28" spans="1:9">
      <c r="A28" s="51" t="s">
        <v>457</v>
      </c>
      <c r="B28" s="52" t="s">
        <v>432</v>
      </c>
      <c r="C28" s="67">
        <v>43</v>
      </c>
      <c r="D28" s="67">
        <v>18</v>
      </c>
      <c r="E28" s="67">
        <v>29</v>
      </c>
      <c r="F28" s="67">
        <v>26</v>
      </c>
      <c r="G28" s="67">
        <v>29</v>
      </c>
      <c r="H28" s="58" t="s">
        <v>435</v>
      </c>
      <c r="I28" s="59" t="s">
        <v>436</v>
      </c>
    </row>
    <row r="29" spans="1:9">
      <c r="A29" s="51" t="s">
        <v>458</v>
      </c>
      <c r="B29" s="55" t="s">
        <v>432</v>
      </c>
      <c r="C29" s="66">
        <v>25.7</v>
      </c>
      <c r="D29" s="66">
        <v>23.5</v>
      </c>
      <c r="E29" s="66">
        <v>32.5</v>
      </c>
      <c r="F29" s="66">
        <v>26.9</v>
      </c>
      <c r="G29" s="66">
        <v>24.8</v>
      </c>
      <c r="H29" s="66"/>
      <c r="I29" s="61" t="s">
        <v>436</v>
      </c>
    </row>
    <row r="30" spans="1:9">
      <c r="A30" s="51" t="s">
        <v>459</v>
      </c>
      <c r="B30" s="52" t="s">
        <v>432</v>
      </c>
      <c r="C30" s="67">
        <v>12</v>
      </c>
      <c r="D30" s="67">
        <v>12</v>
      </c>
      <c r="E30" s="67">
        <v>10</v>
      </c>
      <c r="F30" s="67">
        <v>13</v>
      </c>
      <c r="G30" s="67">
        <v>14</v>
      </c>
      <c r="H30" s="58" t="s">
        <v>435</v>
      </c>
      <c r="I30" s="59" t="s">
        <v>436</v>
      </c>
    </row>
    <row r="31" spans="1:9">
      <c r="A31" s="51" t="s">
        <v>460</v>
      </c>
      <c r="B31" s="55" t="s">
        <v>432</v>
      </c>
      <c r="C31" s="66">
        <v>12.2</v>
      </c>
      <c r="D31" s="66">
        <v>14.1</v>
      </c>
      <c r="E31" s="66">
        <v>15.4</v>
      </c>
      <c r="F31" s="66">
        <v>12</v>
      </c>
      <c r="G31" s="66">
        <v>13</v>
      </c>
      <c r="H31" s="66">
        <v>12</v>
      </c>
      <c r="I31" s="63">
        <v>-7.6899999999999996E-2</v>
      </c>
    </row>
    <row r="32" spans="1:9">
      <c r="A32" s="51" t="s">
        <v>461</v>
      </c>
      <c r="B32" s="52" t="s">
        <v>432</v>
      </c>
      <c r="C32" s="67">
        <v>8.6</v>
      </c>
      <c r="D32" s="67">
        <v>7.1</v>
      </c>
      <c r="E32" s="67">
        <v>6.3</v>
      </c>
      <c r="F32" s="67">
        <v>12</v>
      </c>
      <c r="G32" s="67">
        <v>6</v>
      </c>
      <c r="H32" s="67">
        <v>95.4</v>
      </c>
      <c r="I32" s="54" t="s">
        <v>462</v>
      </c>
    </row>
    <row r="33" spans="1:9">
      <c r="A33" s="65" t="s">
        <v>463</v>
      </c>
      <c r="B33" s="55" t="s">
        <v>432</v>
      </c>
      <c r="C33" s="60" t="s">
        <v>435</v>
      </c>
      <c r="D33" s="60" t="s">
        <v>435</v>
      </c>
      <c r="E33" s="60" t="s">
        <v>435</v>
      </c>
      <c r="F33" s="60" t="s">
        <v>435</v>
      </c>
      <c r="G33" s="60" t="s">
        <v>435</v>
      </c>
      <c r="H33" s="66"/>
      <c r="I33" s="61" t="s">
        <v>436</v>
      </c>
    </row>
    <row r="34" spans="1:9">
      <c r="A34" s="51" t="s">
        <v>464</v>
      </c>
      <c r="B34" s="52" t="s">
        <v>465</v>
      </c>
      <c r="C34" s="67">
        <v>226</v>
      </c>
      <c r="D34" s="67">
        <v>210</v>
      </c>
      <c r="E34" s="67">
        <v>216</v>
      </c>
      <c r="F34" s="67">
        <v>186</v>
      </c>
      <c r="G34" s="67">
        <v>143</v>
      </c>
      <c r="H34" s="67">
        <v>178</v>
      </c>
      <c r="I34" s="54">
        <f>24.48%</f>
        <v>0.24480000000000002</v>
      </c>
    </row>
    <row r="35" spans="1:9">
      <c r="A35" s="51" t="s">
        <v>466</v>
      </c>
      <c r="B35" s="55" t="s">
        <v>465</v>
      </c>
      <c r="C35" s="66">
        <v>148</v>
      </c>
      <c r="D35" s="66">
        <v>151</v>
      </c>
      <c r="E35" s="66">
        <v>141</v>
      </c>
      <c r="F35" s="66">
        <v>148</v>
      </c>
      <c r="G35" s="66">
        <v>139</v>
      </c>
      <c r="H35" s="66">
        <v>132</v>
      </c>
      <c r="I35" s="63">
        <v>-5.04E-2</v>
      </c>
    </row>
    <row r="36" spans="1:9">
      <c r="A36" s="64" t="s">
        <v>467</v>
      </c>
      <c r="B36" s="52" t="s">
        <v>465</v>
      </c>
      <c r="C36" s="67">
        <v>121</v>
      </c>
      <c r="D36" s="67">
        <v>124</v>
      </c>
      <c r="E36" s="67">
        <v>116</v>
      </c>
      <c r="F36" s="67">
        <v>78</v>
      </c>
      <c r="G36" s="67">
        <v>63.3</v>
      </c>
      <c r="H36" s="67">
        <v>60</v>
      </c>
      <c r="I36" s="62">
        <v>-5.21E-2</v>
      </c>
    </row>
    <row r="37" spans="1:9">
      <c r="A37" s="51" t="s">
        <v>468</v>
      </c>
      <c r="B37" s="55" t="s">
        <v>465</v>
      </c>
      <c r="C37" s="66">
        <v>12.8</v>
      </c>
      <c r="D37" s="66">
        <v>14.8</v>
      </c>
      <c r="E37" s="66">
        <v>15</v>
      </c>
      <c r="F37" s="66">
        <v>13</v>
      </c>
      <c r="G37" s="66">
        <v>10</v>
      </c>
      <c r="H37" s="66">
        <v>9</v>
      </c>
      <c r="I37" s="63">
        <v>-0.1</v>
      </c>
    </row>
    <row r="38" spans="1:9" ht="15.75" customHeight="1">
      <c r="A38" s="95" t="s">
        <v>469</v>
      </c>
      <c r="B38" s="89"/>
      <c r="C38" s="68">
        <v>471181</v>
      </c>
      <c r="D38" s="68">
        <v>488523</v>
      </c>
      <c r="E38" s="68">
        <v>494544</v>
      </c>
      <c r="F38" s="68">
        <v>484607</v>
      </c>
      <c r="G38" s="68">
        <v>496955</v>
      </c>
      <c r="H38" s="68">
        <v>417883</v>
      </c>
      <c r="I38" s="69" t="s">
        <v>591</v>
      </c>
    </row>
    <row r="39" spans="1:9" ht="14.25">
      <c r="A39" s="70"/>
    </row>
    <row r="40" spans="1:9" ht="12.75">
      <c r="A40" s="48" t="s">
        <v>429</v>
      </c>
      <c r="B40" s="48"/>
      <c r="C40" s="49">
        <v>2019</v>
      </c>
      <c r="D40" s="49">
        <v>2020</v>
      </c>
      <c r="E40" s="49">
        <v>2021</v>
      </c>
      <c r="F40" s="49">
        <v>2022</v>
      </c>
      <c r="G40" s="49">
        <v>2023</v>
      </c>
      <c r="H40" s="49">
        <v>2024</v>
      </c>
      <c r="I40" s="50" t="s">
        <v>430</v>
      </c>
    </row>
    <row r="41" spans="1:9" ht="12.75">
      <c r="A41" s="51" t="s">
        <v>470</v>
      </c>
      <c r="B41" s="52" t="s">
        <v>471</v>
      </c>
      <c r="C41" s="53">
        <v>50176</v>
      </c>
      <c r="D41" s="53">
        <v>50677</v>
      </c>
      <c r="E41" s="53">
        <v>53766</v>
      </c>
      <c r="F41" s="53">
        <v>55815</v>
      </c>
      <c r="G41" s="53">
        <v>55588</v>
      </c>
      <c r="H41" s="53">
        <v>55718</v>
      </c>
      <c r="I41" s="54">
        <f>0.23%</f>
        <v>2.3E-3</v>
      </c>
    </row>
    <row r="42" spans="1:9" ht="15">
      <c r="A42" s="95" t="s">
        <v>469</v>
      </c>
      <c r="B42" s="89"/>
      <c r="C42" s="68">
        <v>50176</v>
      </c>
      <c r="D42" s="68">
        <v>50677</v>
      </c>
      <c r="E42" s="68">
        <v>53766</v>
      </c>
      <c r="F42" s="68">
        <v>55815</v>
      </c>
      <c r="G42" s="68">
        <v>55588</v>
      </c>
      <c r="H42" s="68">
        <v>55718</v>
      </c>
      <c r="I42" s="69" t="s">
        <v>591</v>
      </c>
    </row>
    <row r="43" spans="1:9" ht="14.25">
      <c r="A43" s="70"/>
    </row>
    <row r="44" spans="1:9" ht="12.75">
      <c r="A44" s="48" t="s">
        <v>429</v>
      </c>
      <c r="B44" s="48"/>
      <c r="C44" s="49">
        <v>2019</v>
      </c>
      <c r="D44" s="49">
        <v>2020</v>
      </c>
      <c r="E44" s="49">
        <v>2021</v>
      </c>
      <c r="F44" s="49">
        <v>2022</v>
      </c>
      <c r="G44" s="49">
        <v>2023</v>
      </c>
      <c r="H44" s="49">
        <v>2024</v>
      </c>
      <c r="I44" s="50" t="s">
        <v>430</v>
      </c>
    </row>
    <row r="45" spans="1:9" ht="12.75">
      <c r="A45" s="51" t="s">
        <v>472</v>
      </c>
      <c r="B45" s="52" t="s">
        <v>473</v>
      </c>
      <c r="C45" s="53">
        <v>26939</v>
      </c>
      <c r="D45" s="53">
        <v>30909</v>
      </c>
      <c r="E45" s="53">
        <v>34282</v>
      </c>
      <c r="F45" s="53">
        <v>32602</v>
      </c>
      <c r="G45" s="53">
        <v>36655</v>
      </c>
      <c r="H45" s="53">
        <v>39244</v>
      </c>
      <c r="I45" s="54">
        <f>7.06%</f>
        <v>7.0599999999999996E-2</v>
      </c>
    </row>
    <row r="46" spans="1:9" ht="12.75">
      <c r="A46" s="65" t="s">
        <v>198</v>
      </c>
      <c r="B46" s="55" t="s">
        <v>473</v>
      </c>
      <c r="C46" s="56">
        <v>3205</v>
      </c>
      <c r="D46" s="56">
        <v>3533</v>
      </c>
      <c r="E46" s="56">
        <v>3373</v>
      </c>
      <c r="F46" s="56">
        <v>2934</v>
      </c>
      <c r="G46" s="56">
        <v>2844</v>
      </c>
      <c r="H46" s="56">
        <v>2954</v>
      </c>
      <c r="I46" s="57">
        <f>3.87%</f>
        <v>3.8699999999999998E-2</v>
      </c>
    </row>
    <row r="47" spans="1:9" ht="12.75">
      <c r="A47" s="64" t="s">
        <v>197</v>
      </c>
      <c r="B47" s="52" t="s">
        <v>473</v>
      </c>
      <c r="C47" s="53">
        <v>2000</v>
      </c>
      <c r="D47" s="53">
        <v>2181</v>
      </c>
      <c r="E47" s="53">
        <v>1832</v>
      </c>
      <c r="F47" s="53">
        <v>1700</v>
      </c>
      <c r="G47" s="53">
        <v>1741</v>
      </c>
      <c r="H47" s="58" t="s">
        <v>435</v>
      </c>
      <c r="I47" s="59" t="s">
        <v>436</v>
      </c>
    </row>
    <row r="48" spans="1:9" ht="12.75">
      <c r="A48" s="65" t="s">
        <v>474</v>
      </c>
      <c r="B48" s="55" t="s">
        <v>473</v>
      </c>
      <c r="C48" s="66">
        <v>981</v>
      </c>
      <c r="D48" s="56">
        <v>1104</v>
      </c>
      <c r="E48" s="66">
        <v>981</v>
      </c>
      <c r="F48" s="66">
        <v>506</v>
      </c>
      <c r="G48" s="66">
        <v>542</v>
      </c>
      <c r="H48" s="60" t="s">
        <v>435</v>
      </c>
      <c r="I48" s="61" t="s">
        <v>436</v>
      </c>
    </row>
    <row r="49" spans="1:9" ht="12.75">
      <c r="A49" s="64" t="s">
        <v>475</v>
      </c>
      <c r="B49" s="52" t="s">
        <v>473</v>
      </c>
      <c r="C49" s="67">
        <v>87</v>
      </c>
      <c r="D49" s="67">
        <v>38</v>
      </c>
      <c r="E49" s="67">
        <v>61</v>
      </c>
      <c r="F49" s="67">
        <v>110</v>
      </c>
      <c r="G49" s="67">
        <v>115</v>
      </c>
      <c r="H49" s="67">
        <v>112</v>
      </c>
      <c r="I49" s="62">
        <v>-2.6100000000000002E-2</v>
      </c>
    </row>
    <row r="50" spans="1:9" ht="12.75">
      <c r="A50" s="65" t="s">
        <v>476</v>
      </c>
      <c r="B50" s="55" t="s">
        <v>473</v>
      </c>
      <c r="C50" s="60" t="s">
        <v>435</v>
      </c>
      <c r="D50" s="60" t="s">
        <v>435</v>
      </c>
      <c r="E50" s="60" t="s">
        <v>435</v>
      </c>
      <c r="F50" s="60" t="s">
        <v>435</v>
      </c>
      <c r="G50" s="60" t="s">
        <v>435</v>
      </c>
      <c r="H50" s="66"/>
      <c r="I50" s="61" t="s">
        <v>436</v>
      </c>
    </row>
    <row r="51" spans="1:9" ht="12.75">
      <c r="A51" s="64" t="s">
        <v>477</v>
      </c>
      <c r="B51" s="52" t="s">
        <v>473</v>
      </c>
      <c r="C51" s="58" t="s">
        <v>435</v>
      </c>
      <c r="D51" s="58" t="s">
        <v>435</v>
      </c>
      <c r="E51" s="58" t="s">
        <v>435</v>
      </c>
      <c r="F51" s="58" t="s">
        <v>435</v>
      </c>
      <c r="G51" s="58" t="s">
        <v>435</v>
      </c>
      <c r="H51" s="67"/>
      <c r="I51" s="59" t="s">
        <v>436</v>
      </c>
    </row>
    <row r="52" spans="1:9" ht="15">
      <c r="A52" s="95" t="s">
        <v>469</v>
      </c>
      <c r="B52" s="89"/>
      <c r="C52" s="68">
        <v>33212</v>
      </c>
      <c r="D52" s="68">
        <v>37765</v>
      </c>
      <c r="E52" s="68">
        <v>40529</v>
      </c>
      <c r="F52" s="68">
        <v>37852</v>
      </c>
      <c r="G52" s="68">
        <v>41897</v>
      </c>
      <c r="H52" s="68">
        <v>42310</v>
      </c>
      <c r="I52" s="69" t="s">
        <v>591</v>
      </c>
    </row>
    <row r="53" spans="1:9" ht="14.25">
      <c r="A53" s="70"/>
    </row>
    <row r="54" spans="1:9" ht="12.75">
      <c r="A54" s="48" t="s">
        <v>429</v>
      </c>
      <c r="B54" s="48"/>
      <c r="C54" s="49">
        <v>2019</v>
      </c>
      <c r="D54" s="49">
        <v>2020</v>
      </c>
      <c r="E54" s="49">
        <v>2021</v>
      </c>
      <c r="F54" s="49">
        <v>2022</v>
      </c>
      <c r="G54" s="49">
        <v>2023</v>
      </c>
      <c r="H54" s="49">
        <v>2024</v>
      </c>
      <c r="I54" s="50" t="s">
        <v>430</v>
      </c>
    </row>
    <row r="55" spans="1:9" ht="12.75">
      <c r="A55" s="51" t="s">
        <v>478</v>
      </c>
      <c r="B55" s="52" t="s">
        <v>379</v>
      </c>
      <c r="C55" s="67">
        <v>10</v>
      </c>
      <c r="D55" s="67">
        <v>6.7</v>
      </c>
      <c r="E55" s="67">
        <v>7.5</v>
      </c>
      <c r="F55" s="67">
        <v>4.7</v>
      </c>
      <c r="G55" s="67">
        <v>3.7</v>
      </c>
      <c r="H55" s="58" t="s">
        <v>435</v>
      </c>
      <c r="I55" s="59" t="s">
        <v>436</v>
      </c>
    </row>
    <row r="56" spans="1:9" ht="15">
      <c r="A56" s="95" t="s">
        <v>469</v>
      </c>
      <c r="B56" s="89"/>
      <c r="C56" s="71">
        <v>10</v>
      </c>
      <c r="D56" s="71">
        <v>7</v>
      </c>
      <c r="E56" s="71">
        <v>8</v>
      </c>
      <c r="F56" s="71">
        <v>5</v>
      </c>
      <c r="G56" s="71">
        <v>4</v>
      </c>
      <c r="H56" s="71"/>
      <c r="I56" s="72" t="s">
        <v>436</v>
      </c>
    </row>
    <row r="57" spans="1:9" ht="12.75">
      <c r="A57" s="73" t="s">
        <v>479</v>
      </c>
    </row>
  </sheetData>
  <mergeCells count="4">
    <mergeCell ref="A38:B38"/>
    <mergeCell ref="A42:B42"/>
    <mergeCell ref="A52:B52"/>
    <mergeCell ref="A56:B56"/>
  </mergeCells>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location="produzioni" xr:uid="{00000000-0004-0000-0B00-000008000000}"/>
    <hyperlink ref="A11" r:id="rId10" xr:uid="{00000000-0004-0000-0B00-000009000000}"/>
    <hyperlink ref="A13" r:id="rId11" location="produzioni" xr:uid="{00000000-0004-0000-0B00-00000A000000}"/>
    <hyperlink ref="A16" r:id="rId12" xr:uid="{00000000-0004-0000-0B00-00000B000000}"/>
    <hyperlink ref="A17" r:id="rId13" xr:uid="{00000000-0004-0000-0B00-00000C000000}"/>
    <hyperlink ref="A18" r:id="rId14" xr:uid="{00000000-0004-0000-0B00-00000D000000}"/>
    <hyperlink ref="A19" r:id="rId15" xr:uid="{00000000-0004-0000-0B00-00000E000000}"/>
    <hyperlink ref="A20" r:id="rId16" xr:uid="{00000000-0004-0000-0B00-00000F000000}"/>
    <hyperlink ref="A21" r:id="rId17" xr:uid="{00000000-0004-0000-0B00-000010000000}"/>
    <hyperlink ref="A24" r:id="rId18" xr:uid="{00000000-0004-0000-0B00-000011000000}"/>
    <hyperlink ref="A26" r:id="rId19" location="produzioni" xr:uid="{00000000-0004-0000-0B00-000012000000}"/>
    <hyperlink ref="A27" r:id="rId20" xr:uid="{00000000-0004-0000-0B00-000013000000}"/>
    <hyperlink ref="A28" r:id="rId21" xr:uid="{00000000-0004-0000-0B00-000014000000}"/>
    <hyperlink ref="A29" r:id="rId22" xr:uid="{00000000-0004-0000-0B00-000015000000}"/>
    <hyperlink ref="A30" r:id="rId23" xr:uid="{00000000-0004-0000-0B00-000016000000}"/>
    <hyperlink ref="A31" r:id="rId24" xr:uid="{00000000-0004-0000-0B00-000017000000}"/>
    <hyperlink ref="A32" r:id="rId25" xr:uid="{00000000-0004-0000-0B00-000018000000}"/>
    <hyperlink ref="A34" r:id="rId26" location="produzioni" xr:uid="{00000000-0004-0000-0B00-000019000000}"/>
    <hyperlink ref="A35" r:id="rId27" xr:uid="{00000000-0004-0000-0B00-00001A000000}"/>
    <hyperlink ref="A37" r:id="rId28" xr:uid="{00000000-0004-0000-0B00-00001B000000}"/>
    <hyperlink ref="A41" r:id="rId29" xr:uid="{00000000-0004-0000-0B00-00001C000000}"/>
    <hyperlink ref="A45" r:id="rId30" xr:uid="{00000000-0004-0000-0B00-00001D000000}"/>
    <hyperlink ref="A55" r:id="rId31" xr:uid="{00000000-0004-0000-0B00-00001E000000}"/>
    <hyperlink ref="A57" r:id="rId32" xr:uid="{00000000-0004-0000-0B00-00001F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E46"/>
  <sheetViews>
    <sheetView workbookViewId="0">
      <pane ySplit="1" topLeftCell="A2" activePane="bottomLeft" state="frozen"/>
      <selection pane="bottomLeft" activeCell="B3" sqref="B3"/>
    </sheetView>
  </sheetViews>
  <sheetFormatPr baseColWidth="10" defaultColWidth="12.5703125" defaultRowHeight="15.75" customHeight="1"/>
  <cols>
    <col min="1" max="1" width="20.85546875" customWidth="1"/>
    <col min="2" max="2" width="14.28515625" customWidth="1"/>
  </cols>
  <sheetData>
    <row r="1" spans="1:5" ht="22.5" customHeight="1">
      <c r="A1" s="74" t="s">
        <v>480</v>
      </c>
      <c r="B1" s="74" t="s">
        <v>481</v>
      </c>
      <c r="C1" s="74" t="s">
        <v>482</v>
      </c>
      <c r="D1" s="74" t="s">
        <v>327</v>
      </c>
      <c r="E1" s="74" t="s">
        <v>326</v>
      </c>
    </row>
    <row r="2" spans="1:5" ht="22.5" customHeight="1">
      <c r="A2" s="75" t="s">
        <v>64</v>
      </c>
      <c r="B2" s="75" t="s">
        <v>483</v>
      </c>
      <c r="C2" s="75" t="s">
        <v>484</v>
      </c>
      <c r="D2" s="76">
        <v>4905</v>
      </c>
      <c r="E2" s="77">
        <v>2021</v>
      </c>
    </row>
    <row r="3" spans="1:5" ht="22.5" customHeight="1">
      <c r="A3" s="75" t="s">
        <v>66</v>
      </c>
      <c r="B3" s="75" t="s">
        <v>483</v>
      </c>
      <c r="C3" s="75" t="s">
        <v>484</v>
      </c>
      <c r="D3" s="76">
        <v>435</v>
      </c>
      <c r="E3" s="77">
        <v>2021</v>
      </c>
    </row>
    <row r="4" spans="1:5" ht="22.5" customHeight="1">
      <c r="A4" s="75" t="s">
        <v>67</v>
      </c>
      <c r="B4" s="75" t="s">
        <v>483</v>
      </c>
      <c r="C4" s="75" t="s">
        <v>484</v>
      </c>
      <c r="D4" s="76">
        <v>473</v>
      </c>
      <c r="E4" s="77">
        <v>2021</v>
      </c>
    </row>
    <row r="5" spans="1:5" ht="22.5" customHeight="1">
      <c r="A5" s="75" t="s">
        <v>122</v>
      </c>
      <c r="B5" s="75" t="s">
        <v>483</v>
      </c>
      <c r="C5" s="75" t="s">
        <v>484</v>
      </c>
      <c r="D5" s="76">
        <v>5685</v>
      </c>
      <c r="E5" s="77">
        <v>2021</v>
      </c>
    </row>
    <row r="6" spans="1:5" ht="22.5" customHeight="1">
      <c r="A6" s="75" t="s">
        <v>123</v>
      </c>
      <c r="B6" s="75" t="s">
        <v>483</v>
      </c>
      <c r="C6" s="75" t="s">
        <v>484</v>
      </c>
      <c r="D6" s="76">
        <v>734</v>
      </c>
      <c r="E6" s="77">
        <v>2021</v>
      </c>
    </row>
    <row r="7" spans="1:5" ht="22.5" customHeight="1">
      <c r="A7" s="75" t="s">
        <v>44</v>
      </c>
      <c r="B7" s="75" t="s">
        <v>485</v>
      </c>
      <c r="C7" s="75" t="s">
        <v>484</v>
      </c>
      <c r="D7" s="76">
        <v>3479</v>
      </c>
      <c r="E7" s="77">
        <v>2021</v>
      </c>
    </row>
    <row r="8" spans="1:5" ht="22.5" customHeight="1">
      <c r="A8" s="75" t="s">
        <v>63</v>
      </c>
      <c r="B8" s="75" t="s">
        <v>485</v>
      </c>
      <c r="C8" s="75" t="s">
        <v>484</v>
      </c>
      <c r="D8" s="76">
        <v>5340</v>
      </c>
      <c r="E8" s="77">
        <v>2021</v>
      </c>
    </row>
    <row r="9" spans="1:5" ht="22.5" customHeight="1">
      <c r="A9" s="75" t="s">
        <v>103</v>
      </c>
      <c r="B9" s="75" t="s">
        <v>485</v>
      </c>
      <c r="C9" s="75" t="s">
        <v>484</v>
      </c>
      <c r="D9" s="76">
        <v>64500</v>
      </c>
      <c r="E9" s="77">
        <v>2021</v>
      </c>
    </row>
    <row r="10" spans="1:5" ht="22.5" customHeight="1">
      <c r="A10" s="75" t="s">
        <v>93</v>
      </c>
      <c r="B10" s="75" t="s">
        <v>486</v>
      </c>
      <c r="C10" s="75" t="s">
        <v>484</v>
      </c>
      <c r="D10" s="76">
        <v>11264</v>
      </c>
      <c r="E10" s="77">
        <v>2021</v>
      </c>
    </row>
    <row r="11" spans="1:5" ht="22.5" customHeight="1">
      <c r="A11" s="75" t="s">
        <v>156</v>
      </c>
      <c r="B11" s="75" t="s">
        <v>486</v>
      </c>
      <c r="C11" s="75" t="s">
        <v>484</v>
      </c>
      <c r="D11" s="76">
        <v>689</v>
      </c>
      <c r="E11" s="77">
        <v>2021</v>
      </c>
    </row>
    <row r="12" spans="1:5" ht="22.5" customHeight="1">
      <c r="A12" s="75" t="s">
        <v>174</v>
      </c>
      <c r="B12" s="75" t="s">
        <v>486</v>
      </c>
      <c r="C12" s="75" t="s">
        <v>484</v>
      </c>
      <c r="D12" s="76">
        <v>11871</v>
      </c>
      <c r="E12" s="77">
        <v>2021</v>
      </c>
    </row>
    <row r="13" spans="1:5" ht="22.5" customHeight="1">
      <c r="A13" s="75" t="s">
        <v>228</v>
      </c>
      <c r="B13" s="75" t="s">
        <v>486</v>
      </c>
      <c r="C13" s="75" t="s">
        <v>484</v>
      </c>
      <c r="D13" s="76">
        <v>16360</v>
      </c>
      <c r="E13" s="77">
        <v>2021</v>
      </c>
    </row>
    <row r="14" spans="1:5" ht="22.5" customHeight="1">
      <c r="A14" s="75" t="s">
        <v>235</v>
      </c>
      <c r="B14" s="75" t="s">
        <v>486</v>
      </c>
      <c r="C14" s="75" t="s">
        <v>484</v>
      </c>
      <c r="D14" s="76">
        <v>14448</v>
      </c>
      <c r="E14" s="77">
        <v>2021</v>
      </c>
    </row>
    <row r="15" spans="1:5" ht="22.5" customHeight="1">
      <c r="A15" s="78" t="s">
        <v>237</v>
      </c>
      <c r="B15" s="75" t="s">
        <v>486</v>
      </c>
      <c r="C15" s="75" t="s">
        <v>484</v>
      </c>
      <c r="D15" s="79">
        <v>1237</v>
      </c>
      <c r="E15" s="77">
        <v>2021</v>
      </c>
    </row>
    <row r="16" spans="1:5" ht="22.5" customHeight="1">
      <c r="A16" s="75" t="s">
        <v>267</v>
      </c>
      <c r="B16" s="75" t="s">
        <v>486</v>
      </c>
      <c r="C16" s="75" t="s">
        <v>484</v>
      </c>
      <c r="D16" s="76">
        <v>970</v>
      </c>
      <c r="E16" s="77">
        <v>2021</v>
      </c>
    </row>
    <row r="17" spans="1:5" ht="22.5" customHeight="1">
      <c r="A17" s="75" t="s">
        <v>76</v>
      </c>
      <c r="B17" s="75" t="s">
        <v>487</v>
      </c>
      <c r="C17" s="75" t="s">
        <v>484</v>
      </c>
      <c r="D17" s="76">
        <v>6849</v>
      </c>
      <c r="E17" s="77">
        <v>2021</v>
      </c>
    </row>
    <row r="18" spans="1:5" ht="22.5" customHeight="1">
      <c r="A18" s="75" t="s">
        <v>488</v>
      </c>
      <c r="B18" s="75" t="s">
        <v>487</v>
      </c>
      <c r="C18" s="75" t="s">
        <v>484</v>
      </c>
      <c r="D18" s="76">
        <v>234</v>
      </c>
      <c r="E18" s="77">
        <v>2021</v>
      </c>
    </row>
    <row r="19" spans="1:5" ht="22.5" customHeight="1">
      <c r="A19" s="75" t="s">
        <v>90</v>
      </c>
      <c r="B19" s="75" t="s">
        <v>487</v>
      </c>
      <c r="C19" s="75" t="s">
        <v>484</v>
      </c>
      <c r="D19" s="76">
        <v>6015</v>
      </c>
      <c r="E19" s="77">
        <v>2021</v>
      </c>
    </row>
    <row r="20" spans="1:5" ht="22.5" customHeight="1">
      <c r="A20" s="75" t="s">
        <v>99</v>
      </c>
      <c r="B20" s="75" t="s">
        <v>487</v>
      </c>
      <c r="C20" s="75" t="s">
        <v>484</v>
      </c>
      <c r="D20" s="76">
        <v>2598</v>
      </c>
      <c r="E20" s="77">
        <v>2021</v>
      </c>
    </row>
    <row r="21" spans="1:5" ht="22.5" customHeight="1">
      <c r="A21" s="75" t="s">
        <v>113</v>
      </c>
      <c r="B21" s="75" t="s">
        <v>487</v>
      </c>
      <c r="C21" s="75" t="s">
        <v>484</v>
      </c>
      <c r="D21" s="76">
        <v>1545</v>
      </c>
      <c r="E21" s="77">
        <v>2021</v>
      </c>
    </row>
    <row r="22" spans="1:5" ht="22.5" customHeight="1">
      <c r="A22" s="75" t="s">
        <v>157</v>
      </c>
      <c r="B22" s="75" t="s">
        <v>487</v>
      </c>
      <c r="C22" s="75" t="s">
        <v>484</v>
      </c>
      <c r="D22" s="76">
        <v>688</v>
      </c>
      <c r="E22" s="77">
        <v>2021</v>
      </c>
    </row>
    <row r="23" spans="1:5" ht="22.5" customHeight="1">
      <c r="A23" s="75" t="s">
        <v>161</v>
      </c>
      <c r="B23" s="75" t="s">
        <v>487</v>
      </c>
      <c r="C23" s="75" t="s">
        <v>484</v>
      </c>
      <c r="D23" s="76">
        <v>725</v>
      </c>
      <c r="E23" s="77">
        <v>2021</v>
      </c>
    </row>
    <row r="24" spans="1:5" ht="22.5" customHeight="1">
      <c r="A24" s="75" t="s">
        <v>169</v>
      </c>
      <c r="B24" s="75" t="s">
        <v>487</v>
      </c>
      <c r="C24" s="75" t="s">
        <v>484</v>
      </c>
      <c r="D24" s="76">
        <v>4424</v>
      </c>
      <c r="E24" s="77">
        <v>2021</v>
      </c>
    </row>
    <row r="25" spans="1:5" ht="22.5" customHeight="1">
      <c r="A25" s="75" t="s">
        <v>171</v>
      </c>
      <c r="B25" s="75" t="s">
        <v>487</v>
      </c>
      <c r="C25" s="75" t="s">
        <v>484</v>
      </c>
      <c r="D25" s="76">
        <v>5992</v>
      </c>
      <c r="E25" s="77">
        <v>2021</v>
      </c>
    </row>
    <row r="26" spans="1:5" ht="22.5" customHeight="1">
      <c r="A26" s="75" t="s">
        <v>177</v>
      </c>
      <c r="B26" s="75" t="s">
        <v>487</v>
      </c>
      <c r="C26" s="75" t="s">
        <v>484</v>
      </c>
      <c r="D26" s="76">
        <v>5902</v>
      </c>
      <c r="E26" s="77">
        <v>2021</v>
      </c>
    </row>
    <row r="27" spans="1:5" ht="22.5" customHeight="1">
      <c r="A27" s="75" t="s">
        <v>182</v>
      </c>
      <c r="B27" s="75" t="s">
        <v>487</v>
      </c>
      <c r="C27" s="75" t="s">
        <v>484</v>
      </c>
      <c r="D27" s="76">
        <v>1633</v>
      </c>
      <c r="E27" s="77">
        <v>2021</v>
      </c>
    </row>
    <row r="28" spans="1:5" ht="22.5" customHeight="1">
      <c r="A28" s="75" t="s">
        <v>205</v>
      </c>
      <c r="B28" s="75" t="s">
        <v>487</v>
      </c>
      <c r="C28" s="75" t="s">
        <v>484</v>
      </c>
      <c r="D28" s="76">
        <v>2195</v>
      </c>
      <c r="E28" s="77">
        <v>2021</v>
      </c>
    </row>
    <row r="29" spans="1:5" ht="22.5" customHeight="1">
      <c r="A29" s="75" t="s">
        <v>80</v>
      </c>
      <c r="B29" s="75" t="s">
        <v>489</v>
      </c>
      <c r="C29" s="75" t="s">
        <v>490</v>
      </c>
      <c r="D29" s="76">
        <v>416</v>
      </c>
      <c r="E29" s="77">
        <v>2021</v>
      </c>
    </row>
    <row r="30" spans="1:5" ht="22.5" customHeight="1">
      <c r="A30" s="75" t="s">
        <v>192</v>
      </c>
      <c r="B30" s="75" t="s">
        <v>486</v>
      </c>
      <c r="C30" s="75" t="s">
        <v>490</v>
      </c>
      <c r="D30" s="76">
        <v>5041</v>
      </c>
      <c r="E30" s="77">
        <v>2021</v>
      </c>
    </row>
    <row r="31" spans="1:5" ht="22.5" customHeight="1">
      <c r="A31" s="75" t="s">
        <v>233</v>
      </c>
      <c r="B31" s="75" t="s">
        <v>491</v>
      </c>
      <c r="C31" s="75" t="s">
        <v>490</v>
      </c>
      <c r="D31" s="76">
        <v>15885</v>
      </c>
      <c r="E31" s="77">
        <v>2021</v>
      </c>
    </row>
    <row r="32" spans="1:5" ht="22.5" customHeight="1">
      <c r="A32" s="75" t="s">
        <v>59</v>
      </c>
      <c r="B32" s="75"/>
      <c r="C32" s="75" t="s">
        <v>492</v>
      </c>
      <c r="D32" s="76">
        <v>98</v>
      </c>
      <c r="E32" s="77">
        <v>2021</v>
      </c>
    </row>
    <row r="33" spans="1:5" ht="22.5" customHeight="1">
      <c r="A33" s="78" t="s">
        <v>82</v>
      </c>
      <c r="B33" s="78"/>
      <c r="C33" s="75" t="s">
        <v>492</v>
      </c>
      <c r="D33" s="76">
        <v>16</v>
      </c>
      <c r="E33" s="77">
        <v>2021</v>
      </c>
    </row>
    <row r="34" spans="1:5" ht="22.5" customHeight="1">
      <c r="A34" s="75" t="s">
        <v>98</v>
      </c>
      <c r="B34" s="75"/>
      <c r="C34" s="75" t="s">
        <v>492</v>
      </c>
      <c r="D34" s="76">
        <v>281</v>
      </c>
      <c r="E34" s="77">
        <v>2021</v>
      </c>
    </row>
    <row r="35" spans="1:5" ht="22.5" customHeight="1">
      <c r="A35" s="75" t="s">
        <v>100</v>
      </c>
      <c r="B35" s="75"/>
      <c r="C35" s="75" t="s">
        <v>492</v>
      </c>
      <c r="D35" s="76">
        <v>111</v>
      </c>
      <c r="E35" s="77">
        <v>2021</v>
      </c>
    </row>
    <row r="36" spans="1:5" ht="22.5" customHeight="1">
      <c r="A36" s="75" t="s">
        <v>101</v>
      </c>
      <c r="B36" s="75"/>
      <c r="C36" s="75" t="s">
        <v>492</v>
      </c>
      <c r="D36" s="76">
        <v>852</v>
      </c>
      <c r="E36" s="77">
        <v>2021</v>
      </c>
    </row>
    <row r="37" spans="1:5" ht="22.5" customHeight="1">
      <c r="A37" s="78" t="s">
        <v>102</v>
      </c>
      <c r="B37" s="78"/>
      <c r="C37" s="75" t="s">
        <v>492</v>
      </c>
      <c r="D37" s="79">
        <v>80</v>
      </c>
      <c r="E37" s="77">
        <v>2021</v>
      </c>
    </row>
    <row r="38" spans="1:5" ht="22.5" customHeight="1">
      <c r="A38" s="75" t="s">
        <v>163</v>
      </c>
      <c r="B38" s="75"/>
      <c r="C38" s="75" t="s">
        <v>492</v>
      </c>
      <c r="D38" s="76">
        <v>107</v>
      </c>
      <c r="E38" s="77">
        <v>2021</v>
      </c>
    </row>
    <row r="39" spans="1:5" ht="22.5" customHeight="1">
      <c r="A39" s="75" t="s">
        <v>199</v>
      </c>
      <c r="B39" s="75"/>
      <c r="C39" s="75" t="s">
        <v>492</v>
      </c>
      <c r="D39" s="76">
        <v>293</v>
      </c>
      <c r="E39" s="77">
        <v>2021</v>
      </c>
    </row>
    <row r="40" spans="1:5" ht="22.5" customHeight="1">
      <c r="A40" s="75" t="s">
        <v>203</v>
      </c>
      <c r="B40" s="75"/>
      <c r="C40" s="75" t="s">
        <v>492</v>
      </c>
      <c r="D40" s="76">
        <v>562</v>
      </c>
      <c r="E40" s="77">
        <v>2021</v>
      </c>
    </row>
    <row r="41" spans="1:5" ht="22.5" customHeight="1">
      <c r="A41" s="75" t="s">
        <v>206</v>
      </c>
      <c r="B41" s="75"/>
      <c r="C41" s="75" t="s">
        <v>492</v>
      </c>
      <c r="D41" s="76">
        <v>244</v>
      </c>
      <c r="E41" s="77">
        <v>2021</v>
      </c>
    </row>
    <row r="42" spans="1:5" ht="22.5" customHeight="1">
      <c r="A42" s="75" t="s">
        <v>230</v>
      </c>
      <c r="B42" s="75"/>
      <c r="C42" s="75" t="s">
        <v>492</v>
      </c>
      <c r="D42" s="76">
        <v>62</v>
      </c>
      <c r="E42" s="77">
        <v>2021</v>
      </c>
    </row>
    <row r="43" spans="1:5" ht="22.5" customHeight="1">
      <c r="A43" s="75" t="s">
        <v>231</v>
      </c>
      <c r="B43" s="75"/>
      <c r="C43" s="75" t="s">
        <v>492</v>
      </c>
      <c r="D43" s="76">
        <v>1357</v>
      </c>
      <c r="E43" s="77">
        <v>2021</v>
      </c>
    </row>
    <row r="44" spans="1:5" ht="22.5" customHeight="1">
      <c r="A44" s="75" t="s">
        <v>236</v>
      </c>
      <c r="B44" s="75"/>
      <c r="C44" s="75" t="s">
        <v>492</v>
      </c>
      <c r="D44" s="76">
        <v>1940</v>
      </c>
      <c r="E44" s="77">
        <v>2021</v>
      </c>
    </row>
    <row r="45" spans="1:5" ht="22.5" customHeight="1">
      <c r="A45" s="75" t="s">
        <v>241</v>
      </c>
      <c r="B45" s="75"/>
      <c r="C45" s="75" t="s">
        <v>492</v>
      </c>
      <c r="D45" s="76">
        <v>1145</v>
      </c>
      <c r="E45" s="77">
        <v>2021</v>
      </c>
    </row>
    <row r="46" spans="1:5" ht="22.5" customHeight="1">
      <c r="A46" s="75" t="s">
        <v>277</v>
      </c>
      <c r="B46" s="75"/>
      <c r="C46" s="75" t="s">
        <v>492</v>
      </c>
      <c r="D46" s="76">
        <v>329</v>
      </c>
      <c r="E46" s="77">
        <v>2021</v>
      </c>
    </row>
  </sheetData>
  <dataValidations count="3">
    <dataValidation type="list" allowBlank="1" showDropDown="1" showErrorMessage="1" sqref="B2:B46" xr:uid="{00000000-0002-0000-0C00-000000000000}">
      <formula1>"persillée,PPC,PPNC,pâtes molles,frais (sérum),persillées"</formula1>
    </dataValidation>
    <dataValidation type="custom" allowBlank="1" showDropDown="1" sqref="D2:D46" xr:uid="{00000000-0002-0000-0C00-000001000000}">
      <formula1>AND(ISNUMBER(D2),(NOT(OR(NOT(ISERROR(DATEVALUE(D2))), AND(ISNUMBER(D2), LEFT(CELL("format", D2))="D")))))</formula1>
    </dataValidation>
    <dataValidation type="list" allowBlank="1" showDropDown="1" showErrorMessage="1" sqref="C2:C46" xr:uid="{00000000-0002-0000-0C00-000002000000}">
      <formula1>"vache,brebis,chèvre"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10"/>
  <sheetViews>
    <sheetView workbookViewId="0"/>
  </sheetViews>
  <sheetFormatPr baseColWidth="10" defaultColWidth="12.5703125" defaultRowHeight="15.75" customHeight="1"/>
  <cols>
    <col min="1" max="1" width="25.7109375" customWidth="1"/>
  </cols>
  <sheetData>
    <row r="1" spans="1:3">
      <c r="A1" s="1" t="s">
        <v>493</v>
      </c>
      <c r="B1" s="1" t="s">
        <v>494</v>
      </c>
      <c r="C1" s="1" t="s">
        <v>495</v>
      </c>
    </row>
    <row r="2" spans="1:3">
      <c r="A2" s="2" t="s">
        <v>51</v>
      </c>
      <c r="B2" s="2" t="s">
        <v>45</v>
      </c>
      <c r="C2" s="2" t="s">
        <v>496</v>
      </c>
    </row>
    <row r="3" spans="1:3">
      <c r="A3" s="2" t="s">
        <v>50</v>
      </c>
      <c r="B3" s="2" t="s">
        <v>45</v>
      </c>
      <c r="C3" s="2" t="s">
        <v>496</v>
      </c>
    </row>
    <row r="4" spans="1:3">
      <c r="A4" s="2" t="s">
        <v>52</v>
      </c>
      <c r="B4" s="2" t="s">
        <v>45</v>
      </c>
      <c r="C4" s="2" t="s">
        <v>497</v>
      </c>
    </row>
    <row r="5" spans="1:3">
      <c r="A5" s="2" t="s">
        <v>186</v>
      </c>
      <c r="B5" s="2" t="s">
        <v>79</v>
      </c>
      <c r="C5" s="2" t="s">
        <v>498</v>
      </c>
    </row>
    <row r="6" spans="1:3">
      <c r="A6" s="2" t="s">
        <v>499</v>
      </c>
      <c r="B6" s="2" t="s">
        <v>79</v>
      </c>
      <c r="C6" s="2" t="s">
        <v>500</v>
      </c>
    </row>
    <row r="7" spans="1:3">
      <c r="A7" s="2" t="s">
        <v>501</v>
      </c>
      <c r="B7" s="2" t="s">
        <v>79</v>
      </c>
      <c r="C7" s="2" t="s">
        <v>502</v>
      </c>
    </row>
    <row r="8" spans="1:3">
      <c r="A8" s="2" t="s">
        <v>503</v>
      </c>
      <c r="B8" s="2" t="s">
        <v>79</v>
      </c>
      <c r="C8" s="2" t="s">
        <v>504</v>
      </c>
    </row>
    <row r="9" spans="1:3">
      <c r="A9" s="2" t="s">
        <v>505</v>
      </c>
      <c r="B9" s="2" t="s">
        <v>79</v>
      </c>
      <c r="C9" s="2" t="s">
        <v>506</v>
      </c>
    </row>
    <row r="10" spans="1:3">
      <c r="A10" s="2" t="s">
        <v>137</v>
      </c>
      <c r="B10" s="2" t="s">
        <v>79</v>
      </c>
      <c r="C10" s="2" t="s">
        <v>507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D40"/>
  <sheetViews>
    <sheetView workbookViewId="0"/>
  </sheetViews>
  <sheetFormatPr baseColWidth="10" defaultColWidth="12.5703125" defaultRowHeight="15.75" customHeight="1"/>
  <sheetData>
    <row r="1" spans="1:4">
      <c r="A1" s="2" t="s">
        <v>104</v>
      </c>
      <c r="B1" s="2" t="s">
        <v>508</v>
      </c>
      <c r="C1" s="2" t="s">
        <v>509</v>
      </c>
      <c r="D1" s="2" t="s">
        <v>510</v>
      </c>
    </row>
    <row r="2" spans="1:4">
      <c r="A2" s="2" t="s">
        <v>114</v>
      </c>
      <c r="B2" s="2" t="s">
        <v>508</v>
      </c>
      <c r="C2" s="2" t="s">
        <v>509</v>
      </c>
      <c r="D2" s="2" t="s">
        <v>511</v>
      </c>
    </row>
    <row r="3" spans="1:4">
      <c r="A3" s="2" t="s">
        <v>105</v>
      </c>
      <c r="B3" s="2" t="s">
        <v>508</v>
      </c>
      <c r="C3" s="2" t="s">
        <v>509</v>
      </c>
      <c r="D3" s="2" t="s">
        <v>512</v>
      </c>
    </row>
    <row r="4" spans="1:4">
      <c r="A4" s="2" t="s">
        <v>134</v>
      </c>
      <c r="B4" s="2" t="s">
        <v>508</v>
      </c>
      <c r="C4" s="2" t="s">
        <v>509</v>
      </c>
      <c r="D4" s="2" t="s">
        <v>513</v>
      </c>
    </row>
    <row r="6" spans="1:4">
      <c r="A6" s="80" t="s">
        <v>514</v>
      </c>
    </row>
    <row r="7" spans="1:4">
      <c r="A7" s="80" t="s">
        <v>515</v>
      </c>
    </row>
    <row r="8" spans="1:4" ht="15.75" customHeight="1">
      <c r="A8" s="81" t="s">
        <v>516</v>
      </c>
    </row>
    <row r="9" spans="1:4" ht="15.75" customHeight="1">
      <c r="A9" s="82"/>
    </row>
    <row r="10" spans="1:4" ht="15.75" customHeight="1">
      <c r="A10" s="83" t="s">
        <v>517</v>
      </c>
    </row>
    <row r="11" spans="1:4" ht="15.75" customHeight="1">
      <c r="A11" s="83" t="s">
        <v>518</v>
      </c>
    </row>
    <row r="12" spans="1:4" ht="15.75" customHeight="1">
      <c r="A12" s="83" t="s">
        <v>519</v>
      </c>
    </row>
    <row r="13" spans="1:4" ht="15.75" customHeight="1">
      <c r="A13" s="83" t="s">
        <v>520</v>
      </c>
    </row>
    <row r="14" spans="1:4">
      <c r="A14" s="39" t="s">
        <v>521</v>
      </c>
    </row>
    <row r="16" spans="1:4">
      <c r="A16" s="84" t="s">
        <v>522</v>
      </c>
    </row>
    <row r="17" spans="1:1">
      <c r="A17" s="84" t="s">
        <v>523</v>
      </c>
    </row>
    <row r="18" spans="1:1">
      <c r="A18" s="84" t="s">
        <v>524</v>
      </c>
    </row>
    <row r="19" spans="1:1">
      <c r="A19" s="84" t="s">
        <v>525</v>
      </c>
    </row>
    <row r="20" spans="1:1">
      <c r="A20" s="84" t="s">
        <v>526</v>
      </c>
    </row>
    <row r="21" spans="1:1">
      <c r="A21" s="84" t="s">
        <v>527</v>
      </c>
    </row>
    <row r="23" spans="1:1">
      <c r="A23" s="85" t="s">
        <v>528</v>
      </c>
    </row>
    <row r="24" spans="1:1">
      <c r="A24" s="85" t="s">
        <v>529</v>
      </c>
    </row>
    <row r="25" spans="1:1">
      <c r="A25" s="85"/>
    </row>
    <row r="26" spans="1:1">
      <c r="A26" s="85" t="s">
        <v>530</v>
      </c>
    </row>
    <row r="27" spans="1:1">
      <c r="A27" s="85" t="s">
        <v>531</v>
      </c>
    </row>
    <row r="28" spans="1:1">
      <c r="A28" s="85" t="s">
        <v>532</v>
      </c>
    </row>
    <row r="29" spans="1:1">
      <c r="A29" s="85" t="s">
        <v>533</v>
      </c>
    </row>
    <row r="30" spans="1:1">
      <c r="A30" s="85" t="s">
        <v>534</v>
      </c>
    </row>
    <row r="31" spans="1:1">
      <c r="A31" s="85" t="s">
        <v>535</v>
      </c>
    </row>
    <row r="32" spans="1:1">
      <c r="A32" s="85" t="s">
        <v>536</v>
      </c>
    </row>
    <row r="33" spans="1:1">
      <c r="A33" s="85" t="s">
        <v>537</v>
      </c>
    </row>
    <row r="34" spans="1:1">
      <c r="A34" s="85" t="s">
        <v>538</v>
      </c>
    </row>
    <row r="35" spans="1:1">
      <c r="A35" s="85" t="s">
        <v>539</v>
      </c>
    </row>
    <row r="36" spans="1:1">
      <c r="A36" s="85" t="s">
        <v>540</v>
      </c>
    </row>
    <row r="37" spans="1:1">
      <c r="A37" s="85" t="s">
        <v>541</v>
      </c>
    </row>
    <row r="38" spans="1:1">
      <c r="A38" s="85" t="s">
        <v>542</v>
      </c>
    </row>
    <row r="39" spans="1:1" ht="12.75">
      <c r="A39" s="85" t="s">
        <v>543</v>
      </c>
    </row>
    <row r="40" spans="1:1" ht="12.75">
      <c r="A40" s="85" t="s">
        <v>544</v>
      </c>
    </row>
  </sheetData>
  <hyperlinks>
    <hyperlink ref="A8" r:id="rId1" xr:uid="{00000000-0004-0000-0E00-000000000000}"/>
    <hyperlink ref="A14" r:id="rId2"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12"/>
  <sheetViews>
    <sheetView workbookViewId="0"/>
  </sheetViews>
  <sheetFormatPr baseColWidth="10" defaultColWidth="12.5703125" defaultRowHeight="15.75" customHeight="1"/>
  <sheetData>
    <row r="1" spans="1:5">
      <c r="A1" s="2" t="s">
        <v>545</v>
      </c>
      <c r="B1" s="2" t="s">
        <v>546</v>
      </c>
      <c r="C1" s="2" t="s">
        <v>547</v>
      </c>
      <c r="D1" s="2" t="s">
        <v>548</v>
      </c>
      <c r="E1" s="2" t="s">
        <v>549</v>
      </c>
    </row>
    <row r="6" spans="1:5">
      <c r="A6" s="2" t="s">
        <v>395</v>
      </c>
      <c r="B6" s="2" t="s">
        <v>550</v>
      </c>
      <c r="C6" s="2" t="s">
        <v>74</v>
      </c>
      <c r="D6" s="2" t="s">
        <v>509</v>
      </c>
      <c r="E6" s="2" t="s">
        <v>551</v>
      </c>
    </row>
    <row r="7" spans="1:5">
      <c r="B7" s="2" t="s">
        <v>552</v>
      </c>
      <c r="C7" s="2" t="s">
        <v>74</v>
      </c>
      <c r="D7" s="2" t="s">
        <v>509</v>
      </c>
      <c r="E7" s="2" t="s">
        <v>553</v>
      </c>
    </row>
    <row r="8" spans="1:5">
      <c r="B8" s="2" t="s">
        <v>554</v>
      </c>
      <c r="C8" s="2" t="s">
        <v>74</v>
      </c>
      <c r="D8" s="2" t="s">
        <v>509</v>
      </c>
      <c r="E8" s="2" t="s">
        <v>555</v>
      </c>
    </row>
    <row r="9" spans="1:5">
      <c r="B9" s="2" t="s">
        <v>556</v>
      </c>
      <c r="C9" s="2" t="s">
        <v>74</v>
      </c>
      <c r="D9" s="2" t="s">
        <v>509</v>
      </c>
      <c r="E9" s="2" t="s">
        <v>557</v>
      </c>
    </row>
    <row r="10" spans="1:5">
      <c r="B10" s="2" t="s">
        <v>128</v>
      </c>
      <c r="C10" s="2" t="s">
        <v>508</v>
      </c>
      <c r="D10" s="2" t="s">
        <v>509</v>
      </c>
      <c r="E10" s="2" t="s">
        <v>558</v>
      </c>
    </row>
    <row r="11" spans="1:5">
      <c r="B11" s="2" t="s">
        <v>109</v>
      </c>
      <c r="C11" s="2" t="s">
        <v>508</v>
      </c>
      <c r="D11" s="2" t="s">
        <v>509</v>
      </c>
      <c r="E11" s="2" t="s">
        <v>559</v>
      </c>
    </row>
    <row r="12" spans="1:5">
      <c r="B12" s="2" t="s">
        <v>560</v>
      </c>
      <c r="C12" s="2" t="s">
        <v>508</v>
      </c>
      <c r="D12" s="2" t="s">
        <v>509</v>
      </c>
      <c r="E12" s="2" t="s">
        <v>561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H28"/>
  <sheetViews>
    <sheetView workbookViewId="0"/>
  </sheetViews>
  <sheetFormatPr baseColWidth="10" defaultColWidth="12.5703125" defaultRowHeight="15.75" customHeight="1"/>
  <cols>
    <col min="6" max="6" width="19.42578125" customWidth="1"/>
    <col min="7" max="7" width="63.28515625" customWidth="1"/>
  </cols>
  <sheetData>
    <row r="1" spans="1:8">
      <c r="A1" s="2" t="s">
        <v>372</v>
      </c>
      <c r="B1" s="2" t="s">
        <v>562</v>
      </c>
      <c r="C1" s="2" t="s">
        <v>563</v>
      </c>
      <c r="D1" s="2" t="s">
        <v>41</v>
      </c>
      <c r="E1" s="2" t="s">
        <v>42</v>
      </c>
      <c r="F1" s="2" t="s">
        <v>564</v>
      </c>
    </row>
    <row r="2" spans="1:8">
      <c r="A2" s="13" t="s">
        <v>565</v>
      </c>
      <c r="B2" s="13" t="s">
        <v>45</v>
      </c>
      <c r="C2" s="13">
        <v>17</v>
      </c>
      <c r="D2" s="2">
        <v>2021</v>
      </c>
      <c r="E2" s="2" t="s">
        <v>17</v>
      </c>
      <c r="F2" s="9" t="s">
        <v>54</v>
      </c>
      <c r="G2" s="9" t="s">
        <v>566</v>
      </c>
      <c r="H2" s="9"/>
    </row>
    <row r="3" spans="1:8">
      <c r="A3" s="13" t="s">
        <v>56</v>
      </c>
      <c r="B3" s="13" t="s">
        <v>45</v>
      </c>
      <c r="C3" s="13">
        <v>53</v>
      </c>
      <c r="D3" s="2">
        <v>2021</v>
      </c>
      <c r="E3" s="2" t="s">
        <v>17</v>
      </c>
      <c r="F3" s="9" t="s">
        <v>54</v>
      </c>
      <c r="G3" s="9" t="s">
        <v>567</v>
      </c>
      <c r="H3" s="9"/>
    </row>
    <row r="4" spans="1:8">
      <c r="A4" s="13" t="s">
        <v>60</v>
      </c>
      <c r="B4" s="13" t="s">
        <v>45</v>
      </c>
      <c r="C4" s="13">
        <v>21</v>
      </c>
      <c r="D4" s="2">
        <v>2021</v>
      </c>
      <c r="E4" s="2" t="s">
        <v>17</v>
      </c>
      <c r="F4" s="9" t="s">
        <v>54</v>
      </c>
      <c r="G4" s="9" t="s">
        <v>568</v>
      </c>
      <c r="H4" s="9"/>
    </row>
    <row r="5" spans="1:8">
      <c r="A5" s="13" t="s">
        <v>569</v>
      </c>
      <c r="B5" s="13" t="s">
        <v>45</v>
      </c>
      <c r="C5" s="13">
        <v>120147</v>
      </c>
      <c r="D5" s="2">
        <v>2021</v>
      </c>
      <c r="E5" s="2" t="s">
        <v>17</v>
      </c>
      <c r="F5" s="9" t="s">
        <v>54</v>
      </c>
      <c r="G5" s="9" t="s">
        <v>570</v>
      </c>
      <c r="H5" s="9"/>
    </row>
    <row r="6" spans="1:8">
      <c r="A6" s="13" t="s">
        <v>571</v>
      </c>
      <c r="B6" s="13" t="s">
        <v>45</v>
      </c>
      <c r="C6" s="13">
        <v>13878</v>
      </c>
      <c r="D6" s="2">
        <v>2021</v>
      </c>
      <c r="E6" s="2" t="s">
        <v>17</v>
      </c>
      <c r="F6" s="9" t="s">
        <v>54</v>
      </c>
      <c r="G6" s="9" t="s">
        <v>572</v>
      </c>
      <c r="H6" s="9"/>
    </row>
    <row r="7" spans="1:8">
      <c r="A7" s="13" t="s">
        <v>121</v>
      </c>
      <c r="B7" s="13" t="s">
        <v>45</v>
      </c>
      <c r="C7" s="86">
        <v>4</v>
      </c>
      <c r="D7" s="2">
        <v>2021</v>
      </c>
      <c r="E7" s="2" t="s">
        <v>17</v>
      </c>
      <c r="F7" s="9" t="s">
        <v>54</v>
      </c>
      <c r="G7" s="9" t="s">
        <v>568</v>
      </c>
      <c r="H7" s="9"/>
    </row>
    <row r="8" spans="1:8">
      <c r="A8" s="13" t="s">
        <v>124</v>
      </c>
      <c r="B8" s="13" t="s">
        <v>45</v>
      </c>
      <c r="C8" s="13">
        <v>326</v>
      </c>
      <c r="D8" s="2">
        <v>2021</v>
      </c>
      <c r="E8" s="2" t="s">
        <v>17</v>
      </c>
      <c r="F8" s="9" t="s">
        <v>54</v>
      </c>
      <c r="G8" s="9" t="s">
        <v>573</v>
      </c>
      <c r="H8" s="9"/>
    </row>
    <row r="9" spans="1:8">
      <c r="A9" s="13" t="s">
        <v>130</v>
      </c>
      <c r="B9" s="13" t="s">
        <v>45</v>
      </c>
      <c r="C9" s="13">
        <v>1</v>
      </c>
      <c r="D9" s="2">
        <v>2021</v>
      </c>
      <c r="E9" s="2" t="s">
        <v>17</v>
      </c>
      <c r="F9" s="9" t="s">
        <v>81</v>
      </c>
      <c r="G9" s="9" t="s">
        <v>81</v>
      </c>
      <c r="H9" s="9"/>
    </row>
    <row r="10" spans="1:8">
      <c r="A10" s="13" t="s">
        <v>131</v>
      </c>
      <c r="B10" s="13" t="s">
        <v>45</v>
      </c>
      <c r="C10" s="13">
        <v>3602</v>
      </c>
      <c r="D10" s="2">
        <v>2021</v>
      </c>
      <c r="E10" s="2" t="s">
        <v>17</v>
      </c>
      <c r="F10" s="9" t="s">
        <v>81</v>
      </c>
      <c r="G10" s="9" t="s">
        <v>81</v>
      </c>
      <c r="H10" s="9"/>
    </row>
    <row r="11" spans="1:8">
      <c r="A11" s="13" t="s">
        <v>132</v>
      </c>
      <c r="B11" s="13" t="s">
        <v>45</v>
      </c>
      <c r="C11" s="13">
        <v>1203</v>
      </c>
      <c r="D11" s="2">
        <v>2021</v>
      </c>
      <c r="E11" s="2" t="s">
        <v>17</v>
      </c>
      <c r="F11" s="9" t="s">
        <v>46</v>
      </c>
      <c r="G11" s="9" t="s">
        <v>46</v>
      </c>
      <c r="H11" s="9"/>
    </row>
    <row r="12" spans="1:8">
      <c r="A12" s="13" t="s">
        <v>145</v>
      </c>
      <c r="B12" s="13" t="s">
        <v>45</v>
      </c>
      <c r="C12" s="13">
        <v>413</v>
      </c>
      <c r="D12" s="2">
        <v>2021</v>
      </c>
      <c r="E12" s="2" t="s">
        <v>17</v>
      </c>
      <c r="F12" s="9" t="s">
        <v>81</v>
      </c>
      <c r="G12" s="9" t="s">
        <v>81</v>
      </c>
      <c r="H12" s="9"/>
    </row>
    <row r="13" spans="1:8">
      <c r="A13" s="13" t="s">
        <v>574</v>
      </c>
      <c r="B13" s="13" t="s">
        <v>45</v>
      </c>
      <c r="C13" s="13">
        <v>2839</v>
      </c>
      <c r="D13" s="2">
        <v>2021</v>
      </c>
      <c r="E13" s="2" t="s">
        <v>17</v>
      </c>
      <c r="F13" s="9" t="s">
        <v>54</v>
      </c>
      <c r="G13" s="9" t="s">
        <v>575</v>
      </c>
      <c r="H13" s="9"/>
    </row>
    <row r="14" spans="1:8">
      <c r="A14" s="13" t="s">
        <v>576</v>
      </c>
      <c r="B14" s="13" t="s">
        <v>45</v>
      </c>
      <c r="C14" s="13">
        <v>5</v>
      </c>
      <c r="D14" s="2">
        <v>2021</v>
      </c>
      <c r="E14" s="2" t="s">
        <v>17</v>
      </c>
      <c r="F14" s="9" t="s">
        <v>54</v>
      </c>
      <c r="G14" s="9" t="s">
        <v>577</v>
      </c>
      <c r="H14" s="9"/>
    </row>
    <row r="15" spans="1:8">
      <c r="A15" s="13" t="s">
        <v>148</v>
      </c>
      <c r="B15" s="13" t="s">
        <v>45</v>
      </c>
      <c r="C15" s="13">
        <v>870</v>
      </c>
      <c r="D15" s="2">
        <v>2021</v>
      </c>
      <c r="E15" s="2" t="s">
        <v>17</v>
      </c>
      <c r="F15" s="9" t="s">
        <v>54</v>
      </c>
      <c r="G15" s="9" t="s">
        <v>573</v>
      </c>
      <c r="H15" s="9"/>
    </row>
    <row r="16" spans="1:8">
      <c r="A16" s="13" t="s">
        <v>149</v>
      </c>
      <c r="B16" s="13" t="s">
        <v>45</v>
      </c>
      <c r="C16" s="13">
        <v>2575</v>
      </c>
      <c r="D16" s="2">
        <v>2021</v>
      </c>
      <c r="E16" s="2" t="s">
        <v>17</v>
      </c>
      <c r="F16" s="9" t="s">
        <v>54</v>
      </c>
      <c r="G16" s="9" t="s">
        <v>578</v>
      </c>
      <c r="H16" s="9"/>
    </row>
    <row r="17" spans="1:8">
      <c r="A17" s="13" t="s">
        <v>150</v>
      </c>
      <c r="B17" s="13" t="s">
        <v>45</v>
      </c>
      <c r="C17" s="13">
        <v>19</v>
      </c>
      <c r="D17" s="2">
        <v>2021</v>
      </c>
      <c r="E17" s="2" t="s">
        <v>17</v>
      </c>
      <c r="F17" s="9" t="s">
        <v>88</v>
      </c>
      <c r="G17" s="9" t="s">
        <v>579</v>
      </c>
      <c r="H17" s="9"/>
    </row>
    <row r="18" spans="1:8">
      <c r="A18" s="13" t="s">
        <v>151</v>
      </c>
      <c r="B18" s="13" t="s">
        <v>79</v>
      </c>
      <c r="C18" s="13">
        <v>1</v>
      </c>
      <c r="D18" s="2">
        <v>2021</v>
      </c>
      <c r="E18" s="2" t="s">
        <v>17</v>
      </c>
      <c r="F18" s="9" t="s">
        <v>88</v>
      </c>
      <c r="G18" s="9" t="s">
        <v>580</v>
      </c>
      <c r="H18" s="9"/>
    </row>
    <row r="19" spans="1:8">
      <c r="A19" s="13" t="s">
        <v>581</v>
      </c>
      <c r="B19" s="13" t="s">
        <v>45</v>
      </c>
      <c r="C19" s="13">
        <v>342</v>
      </c>
      <c r="D19" s="2">
        <v>2021</v>
      </c>
      <c r="E19" s="2" t="s">
        <v>17</v>
      </c>
      <c r="F19" s="9" t="s">
        <v>81</v>
      </c>
      <c r="G19" s="9" t="s">
        <v>81</v>
      </c>
      <c r="H19" s="9"/>
    </row>
    <row r="20" spans="1:8">
      <c r="A20" s="13" t="s">
        <v>582</v>
      </c>
      <c r="B20" s="13" t="s">
        <v>45</v>
      </c>
      <c r="C20" s="13">
        <v>4</v>
      </c>
      <c r="D20" s="2">
        <v>2021</v>
      </c>
      <c r="E20" s="2" t="s">
        <v>17</v>
      </c>
      <c r="F20" s="9" t="s">
        <v>81</v>
      </c>
      <c r="G20" s="9" t="s">
        <v>583</v>
      </c>
      <c r="H20" s="9"/>
    </row>
    <row r="21" spans="1:8">
      <c r="A21" s="13" t="s">
        <v>584</v>
      </c>
      <c r="B21" s="13" t="s">
        <v>45</v>
      </c>
      <c r="C21" s="13">
        <v>1801</v>
      </c>
      <c r="D21" s="2">
        <v>2021</v>
      </c>
      <c r="E21" s="2" t="s">
        <v>17</v>
      </c>
      <c r="F21" s="9" t="s">
        <v>168</v>
      </c>
      <c r="G21" s="9" t="s">
        <v>585</v>
      </c>
      <c r="H21" s="9"/>
    </row>
    <row r="22" spans="1:8">
      <c r="A22" s="13" t="s">
        <v>586</v>
      </c>
      <c r="B22" s="13" t="s">
        <v>45</v>
      </c>
      <c r="C22" s="13">
        <v>1</v>
      </c>
      <c r="D22" s="2">
        <v>2021</v>
      </c>
      <c r="E22" s="2" t="s">
        <v>17</v>
      </c>
      <c r="F22" s="9" t="s">
        <v>202</v>
      </c>
      <c r="G22" s="9" t="s">
        <v>587</v>
      </c>
      <c r="H22" s="9"/>
    </row>
    <row r="23" spans="1:8">
      <c r="A23" s="13" t="s">
        <v>588</v>
      </c>
      <c r="B23" s="13" t="s">
        <v>45</v>
      </c>
      <c r="C23" s="13">
        <v>18</v>
      </c>
      <c r="D23" s="2">
        <v>2021</v>
      </c>
      <c r="E23" s="2" t="s">
        <v>17</v>
      </c>
      <c r="F23" s="9" t="s">
        <v>168</v>
      </c>
      <c r="G23" s="9" t="s">
        <v>589</v>
      </c>
      <c r="H23" s="9"/>
    </row>
    <row r="24" spans="1:8">
      <c r="A24" s="13" t="s">
        <v>201</v>
      </c>
      <c r="B24" s="13" t="s">
        <v>45</v>
      </c>
      <c r="C24" s="13">
        <v>72</v>
      </c>
      <c r="D24" s="2">
        <v>2021</v>
      </c>
      <c r="E24" s="2" t="s">
        <v>17</v>
      </c>
      <c r="F24" s="9" t="s">
        <v>202</v>
      </c>
      <c r="G24" s="9" t="s">
        <v>573</v>
      </c>
      <c r="H24" s="9"/>
    </row>
    <row r="25" spans="1:8">
      <c r="A25" s="13" t="s">
        <v>238</v>
      </c>
      <c r="B25" s="13" t="s">
        <v>45</v>
      </c>
      <c r="C25" s="13">
        <v>58</v>
      </c>
      <c r="D25" s="2">
        <v>2021</v>
      </c>
      <c r="E25" s="2" t="s">
        <v>17</v>
      </c>
      <c r="F25" s="9" t="s">
        <v>46</v>
      </c>
      <c r="G25" s="9" t="s">
        <v>46</v>
      </c>
      <c r="H25" s="9"/>
    </row>
    <row r="26" spans="1:8">
      <c r="A26" s="13" t="s">
        <v>243</v>
      </c>
      <c r="B26" s="13" t="s">
        <v>45</v>
      </c>
      <c r="C26" s="13">
        <v>94</v>
      </c>
      <c r="D26" s="2">
        <v>2021</v>
      </c>
      <c r="E26" s="2" t="s">
        <v>17</v>
      </c>
      <c r="F26" s="9" t="s">
        <v>202</v>
      </c>
      <c r="G26" s="9" t="s">
        <v>568</v>
      </c>
      <c r="H26" s="9"/>
    </row>
    <row r="27" spans="1:8">
      <c r="A27" s="13" t="s">
        <v>282</v>
      </c>
      <c r="B27" s="13" t="s">
        <v>45</v>
      </c>
      <c r="C27" s="13">
        <v>50</v>
      </c>
      <c r="D27" s="2">
        <v>2021</v>
      </c>
      <c r="E27" s="2" t="s">
        <v>17</v>
      </c>
      <c r="F27" s="9" t="s">
        <v>168</v>
      </c>
      <c r="G27" s="9" t="s">
        <v>590</v>
      </c>
      <c r="H27" s="9"/>
    </row>
    <row r="28" spans="1:8">
      <c r="A28" s="87" t="s">
        <v>283</v>
      </c>
      <c r="B28" s="87" t="s">
        <v>45</v>
      </c>
      <c r="C28" s="87">
        <v>278</v>
      </c>
      <c r="D28" s="2">
        <v>2021</v>
      </c>
      <c r="E28" s="2" t="s">
        <v>17</v>
      </c>
      <c r="F28" s="9" t="s">
        <v>202</v>
      </c>
      <c r="G28" s="9" t="s">
        <v>573</v>
      </c>
      <c r="H28"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Prod por pais</vt:lpstr>
      <vt:lpstr>Producción DOP</vt:lpstr>
      <vt:lpstr>DOP Europa</vt:lpstr>
      <vt:lpstr>DOP España</vt:lpstr>
      <vt:lpstr>Productores Asturias</vt:lpstr>
      <vt:lpstr>SADEI-Asturias-2023</vt:lpstr>
      <vt:lpstr>Datos_AESAN</vt:lpstr>
      <vt:lpstr>Total UE</vt:lpstr>
      <vt:lpstr>España-alimentacion</vt:lpstr>
      <vt:lpstr>España-consumo</vt:lpstr>
      <vt:lpstr>España</vt:lpstr>
      <vt:lpstr>Italia</vt:lpstr>
      <vt:lpstr>Francia</vt:lpstr>
      <vt:lpstr>Alemania</vt:lpstr>
      <vt:lpstr>Dinamarca</vt:lpstr>
      <vt:lpstr>Países Bajos</vt:lpstr>
      <vt:lpstr>Grecia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Riera</dc:creator>
  <cp:lastModifiedBy>Juan Riera</cp:lastModifiedBy>
  <dcterms:modified xsi:type="dcterms:W3CDTF">2026-04-06T14:10:58Z</dcterms:modified>
</cp:coreProperties>
</file>